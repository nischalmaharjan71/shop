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BAC1B0EA-7160-41B7-A24E-E6686EE0199F}" xr6:coauthVersionLast="36" xr6:coauthVersionMax="36" xr10:uidLastSave="{00000000-0000-0000-0000-000000000000}"/>
  <bookViews>
    <workbookView xWindow="0" yWindow="0" windowWidth="22260" windowHeight="12648" activeTab="9" xr2:uid="{00000000-000D-0000-FFFF-FFFF00000000}"/>
  </bookViews>
  <sheets>
    <sheet name="Sheet1" sheetId="1" r:id="rId1"/>
    <sheet name="Sheet3" sheetId="3" r:id="rId2"/>
    <sheet name="Sheet2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1" l="1"/>
  <c r="D33" i="9"/>
  <c r="D29" i="9"/>
  <c r="D23" i="10" l="1"/>
  <c r="D23" i="9" l="1"/>
  <c r="D23" i="8"/>
  <c r="D23" i="7" l="1"/>
  <c r="B37" i="6" l="1"/>
  <c r="B36" i="5" l="1"/>
  <c r="B26" i="4" l="1"/>
  <c r="B27" i="3" l="1"/>
  <c r="B27" i="1" l="1"/>
</calcChain>
</file>

<file path=xl/sharedStrings.xml><?xml version="1.0" encoding="utf-8"?>
<sst xmlns="http://schemas.openxmlformats.org/spreadsheetml/2006/main" count="83" uniqueCount="36">
  <si>
    <t>Pampanikal</t>
  </si>
  <si>
    <t>Date</t>
  </si>
  <si>
    <t>Amount</t>
  </si>
  <si>
    <t>Total</t>
  </si>
  <si>
    <t>From Bhadra 10 to Ashoj7</t>
  </si>
  <si>
    <t>Settled with cash</t>
  </si>
  <si>
    <t>6/31/2082</t>
  </si>
  <si>
    <t>Paid With Himalayan Bank Cheque</t>
  </si>
  <si>
    <t>From Ashoj 8 to Ashoj26</t>
  </si>
  <si>
    <t>cheque</t>
  </si>
  <si>
    <t>From Ashoj 27 to Kartik19</t>
  </si>
  <si>
    <t>13/8/2082</t>
  </si>
  <si>
    <t>14/8/2082</t>
  </si>
  <si>
    <t>15/8/2082</t>
  </si>
  <si>
    <t>16/8/2082</t>
  </si>
  <si>
    <t>17/8/2082</t>
  </si>
  <si>
    <t>18/8/2082</t>
  </si>
  <si>
    <t>19/8/2082</t>
  </si>
  <si>
    <t>20/8/2082</t>
  </si>
  <si>
    <t>21/8/2082</t>
  </si>
  <si>
    <t>22/8/2082</t>
  </si>
  <si>
    <t>From  Kartik20 to Mansir 22</t>
  </si>
  <si>
    <t>Paid</t>
  </si>
  <si>
    <t>From  Kartik23 to Poush30</t>
  </si>
  <si>
    <t>bill submited</t>
  </si>
  <si>
    <t>From  Magh1 to Magh29</t>
  </si>
  <si>
    <t>From  Falgun1 to Falgun 30</t>
  </si>
  <si>
    <t>paid</t>
  </si>
  <si>
    <t>From  Chaitra1 to Chaitra 30</t>
  </si>
  <si>
    <t>From  Baishak1 to Baishak 30</t>
  </si>
  <si>
    <t>Falgun2082</t>
  </si>
  <si>
    <t>Chaitra2082</t>
  </si>
  <si>
    <t>25thMay Cash</t>
  </si>
  <si>
    <t>Total of 2082</t>
  </si>
  <si>
    <t>Remaing of 2082</t>
  </si>
  <si>
    <t>From  Jestha1 to Jestha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</si>
</sst>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1" fillId="0" borderId="0" xfId="0" applyFont="1" applyBorder="1"/>
    <xf numFmtId="14" fontId="0" fillId="0" borderId="0" xfId="0" applyNumberFormat="1" applyBorder="1"/>
    <xf numFmtId="0" fontId="3" fillId="0" borderId="0" xfId="0" applyFont="1" applyBorder="1" applyAlignment="1"/>
    <xf numFmtId="0" fontId="0" fillId="0" borderId="0" xfId="0" applyFill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6" fillId="0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19" workbookViewId="0">
      <selection activeCell="A46" sqref="A46"/>
    </sheetView>
  </sheetViews>
  <sheetFormatPr defaultRowHeight="14.4" x14ac:dyDescent="0.3"/>
  <cols>
    <col min="1" max="1" width="37.6640625" style="3" customWidth="1"/>
    <col min="2" max="2" width="27.6640625" style="3" customWidth="1"/>
    <col min="3" max="3" width="4.109375" style="3" customWidth="1"/>
    <col min="4" max="4" width="13" style="3" customWidth="1"/>
    <col min="5" max="5" width="15.5546875" style="3" customWidth="1"/>
    <col min="6" max="16384" width="8.88671875" style="3"/>
  </cols>
  <sheetData>
    <row r="1" spans="1:11" ht="31.2" x14ac:dyDescent="0.6">
      <c r="A1" s="35" t="s">
        <v>0</v>
      </c>
      <c r="B1" s="35"/>
      <c r="C1" s="1"/>
      <c r="D1" s="1"/>
      <c r="E1" s="1"/>
      <c r="F1" s="2"/>
      <c r="G1" s="2"/>
    </row>
    <row r="2" spans="1:11" ht="25.8" x14ac:dyDescent="0.3">
      <c r="A2" s="36" t="s">
        <v>4</v>
      </c>
      <c r="B2" s="36"/>
      <c r="C2" s="2"/>
      <c r="D2" s="2"/>
      <c r="E2" s="2"/>
      <c r="F2" s="2"/>
      <c r="G2" s="2"/>
      <c r="J2" s="7"/>
      <c r="K2" s="7"/>
    </row>
    <row r="3" spans="1:11" ht="25.8" x14ac:dyDescent="0.3">
      <c r="A3" s="9" t="s">
        <v>1</v>
      </c>
      <c r="B3" s="9" t="s">
        <v>2</v>
      </c>
      <c r="C3" s="34"/>
      <c r="D3" s="4"/>
      <c r="E3" s="4"/>
      <c r="J3" s="7"/>
      <c r="K3" s="7"/>
    </row>
    <row r="4" spans="1:11" ht="18" x14ac:dyDescent="0.3">
      <c r="A4" s="10">
        <v>66606</v>
      </c>
      <c r="B4" s="11">
        <v>1175</v>
      </c>
      <c r="C4" s="34"/>
      <c r="J4" s="7"/>
      <c r="K4" s="7"/>
    </row>
    <row r="5" spans="1:11" ht="18" x14ac:dyDescent="0.3">
      <c r="A5" s="10">
        <v>66608</v>
      </c>
      <c r="B5" s="11">
        <v>440</v>
      </c>
      <c r="C5" s="34"/>
      <c r="J5" s="7"/>
      <c r="K5" s="7"/>
    </row>
    <row r="6" spans="1:11" ht="18" x14ac:dyDescent="0.3">
      <c r="A6" s="10">
        <v>66609</v>
      </c>
      <c r="B6" s="11">
        <v>190</v>
      </c>
      <c r="C6" s="34"/>
      <c r="J6" s="7"/>
      <c r="K6" s="7"/>
    </row>
    <row r="7" spans="1:11" ht="18" x14ac:dyDescent="0.3">
      <c r="A7" s="10">
        <v>66610</v>
      </c>
      <c r="B7" s="11">
        <v>1400</v>
      </c>
      <c r="C7" s="34"/>
      <c r="J7" s="7"/>
      <c r="K7" s="7"/>
    </row>
    <row r="8" spans="1:11" ht="18" x14ac:dyDescent="0.3">
      <c r="A8" s="10">
        <v>66611</v>
      </c>
      <c r="B8" s="11">
        <v>850</v>
      </c>
      <c r="C8" s="34"/>
      <c r="J8" s="7"/>
      <c r="K8" s="7"/>
    </row>
    <row r="9" spans="1:11" ht="18" x14ac:dyDescent="0.3">
      <c r="A9" s="10">
        <v>66612</v>
      </c>
      <c r="B9" s="11">
        <v>940</v>
      </c>
      <c r="C9" s="34"/>
      <c r="J9" s="7"/>
      <c r="K9" s="7"/>
    </row>
    <row r="10" spans="1:11" ht="18" x14ac:dyDescent="0.3">
      <c r="A10" s="10">
        <v>66613</v>
      </c>
      <c r="B10" s="11">
        <v>540</v>
      </c>
      <c r="C10" s="34"/>
      <c r="D10" s="5"/>
      <c r="J10" s="7"/>
      <c r="K10" s="7"/>
    </row>
    <row r="11" spans="1:11" ht="18" x14ac:dyDescent="0.3">
      <c r="A11" s="10">
        <v>66614</v>
      </c>
      <c r="B11" s="11">
        <v>1380</v>
      </c>
      <c r="C11" s="34"/>
      <c r="D11" s="5"/>
      <c r="J11" s="7"/>
      <c r="K11" s="7"/>
    </row>
    <row r="12" spans="1:11" ht="18" x14ac:dyDescent="0.3">
      <c r="A12" s="10">
        <v>66615</v>
      </c>
      <c r="B12" s="11">
        <v>780</v>
      </c>
      <c r="C12" s="34"/>
      <c r="D12" s="5"/>
      <c r="J12" s="7"/>
      <c r="K12" s="7"/>
    </row>
    <row r="13" spans="1:11" ht="18" x14ac:dyDescent="0.3">
      <c r="A13" s="10">
        <v>66616</v>
      </c>
      <c r="B13" s="11">
        <v>1685</v>
      </c>
      <c r="C13" s="34"/>
      <c r="D13" s="5"/>
      <c r="J13" s="7"/>
      <c r="K13" s="7"/>
    </row>
    <row r="14" spans="1:11" ht="18" x14ac:dyDescent="0.3">
      <c r="A14" s="10">
        <v>66617</v>
      </c>
      <c r="B14" s="11">
        <v>610</v>
      </c>
      <c r="C14" s="34"/>
      <c r="D14" s="5"/>
      <c r="J14" s="7"/>
      <c r="K14" s="7"/>
    </row>
    <row r="15" spans="1:11" ht="18" x14ac:dyDescent="0.3">
      <c r="A15" s="10">
        <v>66618</v>
      </c>
      <c r="B15" s="11">
        <v>2725</v>
      </c>
      <c r="C15" s="34"/>
      <c r="D15" s="5"/>
      <c r="J15" s="7"/>
      <c r="K15" s="7"/>
    </row>
    <row r="16" spans="1:11" ht="18" x14ac:dyDescent="0.3">
      <c r="A16" s="10">
        <v>66619</v>
      </c>
      <c r="B16" s="11">
        <v>1230</v>
      </c>
      <c r="C16" s="34"/>
      <c r="D16" s="5"/>
      <c r="J16" s="7"/>
      <c r="K16" s="7"/>
    </row>
    <row r="17" spans="1:11" ht="18" x14ac:dyDescent="0.3">
      <c r="A17" s="10">
        <v>66625</v>
      </c>
      <c r="B17" s="11">
        <v>1555</v>
      </c>
      <c r="C17" s="34"/>
      <c r="D17" s="5"/>
      <c r="J17" s="7"/>
      <c r="K17" s="7"/>
    </row>
    <row r="18" spans="1:11" ht="18" x14ac:dyDescent="0.3">
      <c r="A18" s="10">
        <v>66626</v>
      </c>
      <c r="B18" s="11">
        <v>1240</v>
      </c>
      <c r="C18" s="34"/>
      <c r="D18" s="5"/>
      <c r="J18" s="7"/>
      <c r="K18" s="7"/>
    </row>
    <row r="19" spans="1:11" ht="18" x14ac:dyDescent="0.3">
      <c r="A19" s="10">
        <v>66627</v>
      </c>
      <c r="B19" s="11">
        <v>930</v>
      </c>
      <c r="C19" s="34"/>
      <c r="D19" s="5"/>
      <c r="J19" s="7"/>
      <c r="K19" s="7"/>
    </row>
    <row r="20" spans="1:11" ht="18" x14ac:dyDescent="0.3">
      <c r="A20" s="10">
        <v>66629</v>
      </c>
      <c r="B20" s="11">
        <v>1575</v>
      </c>
      <c r="C20" s="34"/>
      <c r="D20" s="5"/>
      <c r="J20" s="7"/>
      <c r="K20" s="7"/>
    </row>
    <row r="21" spans="1:11" ht="18" x14ac:dyDescent="0.3">
      <c r="A21" s="10">
        <v>66630</v>
      </c>
      <c r="B21" s="11">
        <v>445</v>
      </c>
      <c r="C21" s="34"/>
      <c r="D21" s="5"/>
      <c r="J21" s="7"/>
      <c r="K21" s="7"/>
    </row>
    <row r="22" spans="1:11" ht="18" x14ac:dyDescent="0.3">
      <c r="A22" s="10">
        <v>66631</v>
      </c>
      <c r="B22" s="11">
        <v>855</v>
      </c>
      <c r="C22" s="34"/>
      <c r="D22" s="5"/>
      <c r="J22" s="7"/>
      <c r="K22" s="7"/>
    </row>
    <row r="23" spans="1:11" ht="18" x14ac:dyDescent="0.3">
      <c r="A23" s="10">
        <v>66632</v>
      </c>
      <c r="B23" s="11">
        <v>480</v>
      </c>
      <c r="C23" s="34"/>
      <c r="D23" s="5"/>
      <c r="J23" s="7"/>
      <c r="K23" s="7"/>
    </row>
    <row r="24" spans="1:11" ht="18" x14ac:dyDescent="0.3">
      <c r="A24" s="10">
        <v>66633</v>
      </c>
      <c r="B24" s="11">
        <v>1000</v>
      </c>
      <c r="C24" s="34"/>
      <c r="D24" s="5"/>
      <c r="J24" s="7"/>
      <c r="K24" s="7"/>
    </row>
    <row r="25" spans="1:11" ht="18" x14ac:dyDescent="0.3">
      <c r="A25" s="10">
        <v>66634</v>
      </c>
      <c r="B25" s="11">
        <v>995</v>
      </c>
      <c r="C25" s="34"/>
      <c r="D25" s="5"/>
      <c r="J25" s="7"/>
      <c r="K25" s="7"/>
    </row>
    <row r="26" spans="1:11" x14ac:dyDescent="0.3">
      <c r="A26" s="8"/>
      <c r="B26" s="8"/>
      <c r="C26" s="34"/>
    </row>
    <row r="27" spans="1:11" ht="14.4" customHeight="1" x14ac:dyDescent="0.65">
      <c r="A27" s="37" t="s">
        <v>3</v>
      </c>
      <c r="B27" s="37">
        <f>SUM(B4:B26)</f>
        <v>23020</v>
      </c>
      <c r="C27" s="34"/>
      <c r="D27" s="6"/>
      <c r="E27" s="6"/>
    </row>
    <row r="28" spans="1:11" ht="14.4" customHeight="1" x14ac:dyDescent="0.65">
      <c r="A28" s="37"/>
      <c r="B28" s="37"/>
      <c r="C28" s="34"/>
      <c r="D28" s="6"/>
      <c r="E28" s="6"/>
    </row>
    <row r="29" spans="1:11" x14ac:dyDescent="0.3">
      <c r="A29" s="32" t="s">
        <v>5</v>
      </c>
      <c r="B29" s="33"/>
    </row>
    <row r="30" spans="1:11" x14ac:dyDescent="0.3">
      <c r="A30" s="33"/>
      <c r="B30" s="33"/>
    </row>
  </sheetData>
  <mergeCells count="6">
    <mergeCell ref="A29:B30"/>
    <mergeCell ref="C3:C28"/>
    <mergeCell ref="A1:B1"/>
    <mergeCell ref="A2:B2"/>
    <mergeCell ref="A27:A28"/>
    <mergeCell ref="B27:B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9971-34F7-4B13-A495-95A5DD49F333}">
  <dimension ref="A1:B30"/>
  <sheetViews>
    <sheetView topLeftCell="A16" zoomScale="85" zoomScaleNormal="85" workbookViewId="0">
      <selection activeCell="C30" sqref="C30"/>
    </sheetView>
  </sheetViews>
  <sheetFormatPr defaultColWidth="32.6640625" defaultRowHeight="14.4" x14ac:dyDescent="0.3"/>
  <sheetData>
    <row r="1" spans="1:2" ht="31.2" x14ac:dyDescent="0.3">
      <c r="A1" s="35" t="s">
        <v>0</v>
      </c>
      <c r="B1" s="35"/>
    </row>
    <row r="2" spans="1:2" ht="25.8" x14ac:dyDescent="0.3">
      <c r="A2" s="36" t="s">
        <v>8</v>
      </c>
      <c r="B2" s="36"/>
    </row>
    <row r="3" spans="1:2" ht="25.8" x14ac:dyDescent="0.3">
      <c r="A3" s="9" t="s">
        <v>1</v>
      </c>
      <c r="B3" s="9" t="s">
        <v>2</v>
      </c>
    </row>
    <row r="4" spans="1:2" ht="21" x14ac:dyDescent="0.3">
      <c r="A4" s="12">
        <v>66635</v>
      </c>
      <c r="B4" s="13">
        <v>1755</v>
      </c>
    </row>
    <row r="5" spans="1:2" ht="21" x14ac:dyDescent="0.3">
      <c r="A5" s="12">
        <v>66637</v>
      </c>
      <c r="B5" s="13">
        <v>1495</v>
      </c>
    </row>
    <row r="6" spans="1:2" ht="21" x14ac:dyDescent="0.3">
      <c r="A6" s="12">
        <v>66638</v>
      </c>
      <c r="B6" s="13">
        <v>1750</v>
      </c>
    </row>
    <row r="7" spans="1:2" ht="21" x14ac:dyDescent="0.3">
      <c r="A7" s="12">
        <v>66639</v>
      </c>
      <c r="B7" s="13">
        <v>1280</v>
      </c>
    </row>
    <row r="8" spans="1:2" ht="21" x14ac:dyDescent="0.3">
      <c r="A8" s="12">
        <v>66640</v>
      </c>
      <c r="B8" s="13">
        <v>2240</v>
      </c>
    </row>
    <row r="9" spans="1:2" ht="21" x14ac:dyDescent="0.3">
      <c r="A9" s="12">
        <v>66641</v>
      </c>
      <c r="B9" s="13">
        <v>705</v>
      </c>
    </row>
    <row r="10" spans="1:2" ht="21" x14ac:dyDescent="0.3">
      <c r="A10" s="12">
        <v>66642</v>
      </c>
      <c r="B10" s="13">
        <v>1370</v>
      </c>
    </row>
    <row r="11" spans="1:2" ht="21" x14ac:dyDescent="0.3">
      <c r="A11" s="12">
        <v>66644</v>
      </c>
      <c r="B11" s="13">
        <v>1970</v>
      </c>
    </row>
    <row r="12" spans="1:2" ht="21" x14ac:dyDescent="0.3">
      <c r="A12" s="12">
        <v>66645</v>
      </c>
      <c r="B12" s="13">
        <v>1330</v>
      </c>
    </row>
    <row r="13" spans="1:2" ht="21" x14ac:dyDescent="0.3">
      <c r="A13" s="12">
        <v>66646</v>
      </c>
      <c r="B13" s="13">
        <v>630</v>
      </c>
    </row>
    <row r="14" spans="1:2" ht="21" x14ac:dyDescent="0.3">
      <c r="A14" s="12">
        <v>66647</v>
      </c>
      <c r="B14" s="13">
        <v>660</v>
      </c>
    </row>
    <row r="15" spans="1:2" ht="21" x14ac:dyDescent="0.3">
      <c r="A15" s="12">
        <v>66648</v>
      </c>
      <c r="B15" s="13">
        <v>1430</v>
      </c>
    </row>
    <row r="16" spans="1:2" ht="21" x14ac:dyDescent="0.3">
      <c r="A16" s="12">
        <v>66649</v>
      </c>
      <c r="B16" s="13">
        <v>1700</v>
      </c>
    </row>
    <row r="17" spans="1:2" ht="21" x14ac:dyDescent="0.3">
      <c r="A17" s="12">
        <v>66650</v>
      </c>
      <c r="B17" s="13">
        <v>4380</v>
      </c>
    </row>
    <row r="18" spans="1:2" ht="21" x14ac:dyDescent="0.3">
      <c r="A18" s="12">
        <v>66651</v>
      </c>
      <c r="B18" s="13">
        <v>1110</v>
      </c>
    </row>
    <row r="19" spans="1:2" ht="21" x14ac:dyDescent="0.3">
      <c r="A19" s="12">
        <v>66652</v>
      </c>
      <c r="B19" s="13">
        <v>1540</v>
      </c>
    </row>
    <row r="20" spans="1:2" ht="21" x14ac:dyDescent="0.3">
      <c r="A20" s="12">
        <v>66653</v>
      </c>
      <c r="B20" s="13">
        <v>415</v>
      </c>
    </row>
    <row r="21" spans="1:2" ht="21" x14ac:dyDescent="0.3">
      <c r="A21" s="12"/>
      <c r="B21" s="13"/>
    </row>
    <row r="22" spans="1:2" ht="21" x14ac:dyDescent="0.3">
      <c r="A22" s="12"/>
      <c r="B22" s="13"/>
    </row>
    <row r="23" spans="1:2" ht="21" x14ac:dyDescent="0.3">
      <c r="A23" s="12"/>
      <c r="B23" s="13"/>
    </row>
    <row r="24" spans="1:2" ht="21" x14ac:dyDescent="0.3">
      <c r="A24" s="12"/>
      <c r="B24" s="13"/>
    </row>
    <row r="25" spans="1:2" ht="21" x14ac:dyDescent="0.3">
      <c r="A25" s="12"/>
      <c r="B25" s="13"/>
    </row>
    <row r="26" spans="1:2" ht="21" x14ac:dyDescent="0.3">
      <c r="A26" s="12"/>
      <c r="B26" s="13"/>
    </row>
    <row r="27" spans="1:2" x14ac:dyDescent="0.3">
      <c r="A27" s="37" t="s">
        <v>3</v>
      </c>
      <c r="B27" s="37">
        <f>SUM(B4:B26)</f>
        <v>25760</v>
      </c>
    </row>
    <row r="28" spans="1:2" x14ac:dyDescent="0.3">
      <c r="A28" s="37"/>
      <c r="B28" s="37"/>
    </row>
    <row r="29" spans="1:2" x14ac:dyDescent="0.3">
      <c r="A29" s="38" t="s">
        <v>7</v>
      </c>
      <c r="B29" s="39"/>
    </row>
    <row r="30" spans="1:2" x14ac:dyDescent="0.3">
      <c r="A30" s="40"/>
      <c r="B30" s="40"/>
    </row>
  </sheetData>
  <mergeCells count="5">
    <mergeCell ref="A1:B1"/>
    <mergeCell ref="A2:B2"/>
    <mergeCell ref="A27:A28"/>
    <mergeCell ref="B27:B28"/>
    <mergeCell ref="A29:B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0EC5-D3DE-4F90-8F56-51DE3FE7ED43}">
  <dimension ref="A1:B240"/>
  <sheetViews>
    <sheetView topLeftCell="A16" zoomScale="85" zoomScaleNormal="85" workbookViewId="0">
      <selection activeCell="A26" sqref="A26:B28"/>
    </sheetView>
  </sheetViews>
  <sheetFormatPr defaultColWidth="22.77734375" defaultRowHeight="14.4" x14ac:dyDescent="0.3"/>
  <cols>
    <col min="1" max="1" width="38.77734375" customWidth="1"/>
    <col min="2" max="2" width="40.33203125" customWidth="1"/>
  </cols>
  <sheetData>
    <row r="1" spans="1:2" ht="46.2" x14ac:dyDescent="0.3">
      <c r="A1" s="42" t="s">
        <v>0</v>
      </c>
      <c r="B1" s="42"/>
    </row>
    <row r="2" spans="1:2" ht="46.2" x14ac:dyDescent="0.3">
      <c r="A2" s="42" t="s">
        <v>10</v>
      </c>
      <c r="B2" s="42"/>
    </row>
    <row r="3" spans="1:2" ht="46.2" x14ac:dyDescent="0.3">
      <c r="A3" s="18" t="s">
        <v>1</v>
      </c>
      <c r="B3" s="18" t="s">
        <v>2</v>
      </c>
    </row>
    <row r="4" spans="1:2" ht="23.4" x14ac:dyDescent="0.3">
      <c r="A4" s="19">
        <v>66654</v>
      </c>
      <c r="B4" s="20">
        <v>2650</v>
      </c>
    </row>
    <row r="5" spans="1:2" ht="23.4" x14ac:dyDescent="0.3">
      <c r="A5" s="19">
        <v>66655</v>
      </c>
      <c r="B5" s="20">
        <v>1400</v>
      </c>
    </row>
    <row r="6" spans="1:2" ht="23.4" x14ac:dyDescent="0.3">
      <c r="A6" s="19">
        <v>66656</v>
      </c>
      <c r="B6" s="20">
        <v>1375</v>
      </c>
    </row>
    <row r="7" spans="1:2" ht="23.4" x14ac:dyDescent="0.3">
      <c r="A7" s="19">
        <v>66657</v>
      </c>
      <c r="B7" s="20">
        <v>600</v>
      </c>
    </row>
    <row r="8" spans="1:2" ht="23.4" x14ac:dyDescent="0.3">
      <c r="A8" s="19" t="s">
        <v>6</v>
      </c>
      <c r="B8" s="20">
        <v>3450</v>
      </c>
    </row>
    <row r="9" spans="1:2" ht="23.4" x14ac:dyDescent="0.3">
      <c r="A9" s="19">
        <v>66658</v>
      </c>
      <c r="B9" s="20">
        <v>3485</v>
      </c>
    </row>
    <row r="10" spans="1:2" ht="23.4" x14ac:dyDescent="0.3">
      <c r="A10" s="19">
        <v>66659</v>
      </c>
      <c r="B10" s="20">
        <v>3025</v>
      </c>
    </row>
    <row r="11" spans="1:2" ht="23.4" x14ac:dyDescent="0.3">
      <c r="A11" s="19">
        <v>66660</v>
      </c>
      <c r="B11" s="20">
        <v>1250</v>
      </c>
    </row>
    <row r="12" spans="1:2" ht="23.4" x14ac:dyDescent="0.3">
      <c r="A12" s="19">
        <v>66661</v>
      </c>
      <c r="B12" s="20">
        <v>6050</v>
      </c>
    </row>
    <row r="13" spans="1:2" ht="23.4" x14ac:dyDescent="0.3">
      <c r="A13" s="19">
        <v>66662</v>
      </c>
      <c r="B13" s="20">
        <v>2080</v>
      </c>
    </row>
    <row r="14" spans="1:2" ht="23.4" x14ac:dyDescent="0.3">
      <c r="A14" s="19">
        <v>66664</v>
      </c>
      <c r="B14" s="20">
        <v>1035</v>
      </c>
    </row>
    <row r="15" spans="1:2" ht="23.4" x14ac:dyDescent="0.3">
      <c r="A15" s="19">
        <v>66665</v>
      </c>
      <c r="B15" s="20">
        <v>1915</v>
      </c>
    </row>
    <row r="16" spans="1:2" ht="23.4" x14ac:dyDescent="0.3">
      <c r="A16" s="19">
        <v>66666</v>
      </c>
      <c r="B16" s="20">
        <v>1780</v>
      </c>
    </row>
    <row r="17" spans="1:2" ht="23.4" x14ac:dyDescent="0.3">
      <c r="A17" s="19">
        <v>66667</v>
      </c>
      <c r="B17" s="20">
        <v>1770</v>
      </c>
    </row>
    <row r="18" spans="1:2" ht="23.4" x14ac:dyDescent="0.3">
      <c r="A18" s="19">
        <v>66668</v>
      </c>
      <c r="B18" s="20">
        <v>3145</v>
      </c>
    </row>
    <row r="19" spans="1:2" ht="23.4" x14ac:dyDescent="0.3">
      <c r="A19" s="19">
        <v>66669</v>
      </c>
      <c r="B19" s="20">
        <v>1505</v>
      </c>
    </row>
    <row r="20" spans="1:2" ht="23.4" x14ac:dyDescent="0.3">
      <c r="A20" s="19">
        <v>66670</v>
      </c>
      <c r="B20" s="21">
        <v>2590</v>
      </c>
    </row>
    <row r="21" spans="1:2" ht="23.4" x14ac:dyDescent="0.3">
      <c r="A21" s="19">
        <v>66671</v>
      </c>
      <c r="B21" s="21">
        <v>3500</v>
      </c>
    </row>
    <row r="22" spans="1:2" ht="23.4" x14ac:dyDescent="0.3">
      <c r="A22" s="19">
        <v>66672</v>
      </c>
      <c r="B22" s="21">
        <v>2555</v>
      </c>
    </row>
    <row r="23" spans="1:2" ht="23.4" x14ac:dyDescent="0.3">
      <c r="A23" s="19">
        <v>66673</v>
      </c>
      <c r="B23" s="21">
        <v>1250</v>
      </c>
    </row>
    <row r="24" spans="1:2" ht="23.4" x14ac:dyDescent="0.3">
      <c r="A24" s="19">
        <v>66674</v>
      </c>
      <c r="B24" s="21">
        <v>1210</v>
      </c>
    </row>
    <row r="25" spans="1:2" ht="23.4" x14ac:dyDescent="0.3">
      <c r="A25" s="19">
        <v>66676</v>
      </c>
      <c r="B25" s="21">
        <v>2350</v>
      </c>
    </row>
    <row r="26" spans="1:2" x14ac:dyDescent="0.3">
      <c r="A26" s="37" t="s">
        <v>3</v>
      </c>
      <c r="B26" s="37">
        <f>SUM(B4:B25)</f>
        <v>49970</v>
      </c>
    </row>
    <row r="27" spans="1:2" x14ac:dyDescent="0.3">
      <c r="A27" s="37"/>
      <c r="B27" s="37"/>
    </row>
    <row r="28" spans="1:2" ht="33.6" x14ac:dyDescent="0.3">
      <c r="A28" s="15" t="s">
        <v>9</v>
      </c>
      <c r="B28" s="15">
        <v>50000</v>
      </c>
    </row>
    <row r="29" spans="1:2" s="3" customFormat="1" x14ac:dyDescent="0.3"/>
    <row r="30" spans="1:2" s="3" customFormat="1" x14ac:dyDescent="0.3"/>
    <row r="31" spans="1:2" s="3" customFormat="1" x14ac:dyDescent="0.3"/>
    <row r="32" spans="1:2" s="3" customFormat="1" x14ac:dyDescent="0.3"/>
    <row r="33" spans="1:2" s="3" customFormat="1" x14ac:dyDescent="0.3"/>
    <row r="34" spans="1:2" s="3" customFormat="1" x14ac:dyDescent="0.3"/>
    <row r="35" spans="1:2" s="3" customFormat="1" x14ac:dyDescent="0.3"/>
    <row r="36" spans="1:2" s="3" customFormat="1" x14ac:dyDescent="0.3"/>
    <row r="37" spans="1:2" s="3" customFormat="1" x14ac:dyDescent="0.3"/>
    <row r="38" spans="1:2" s="3" customFormat="1" x14ac:dyDescent="0.3"/>
    <row r="39" spans="1:2" s="3" customFormat="1" x14ac:dyDescent="0.3"/>
    <row r="40" spans="1:2" s="3" customFormat="1" x14ac:dyDescent="0.3"/>
    <row r="41" spans="1:2" s="3" customFormat="1" x14ac:dyDescent="0.3"/>
    <row r="42" spans="1:2" s="3" customFormat="1" x14ac:dyDescent="0.3"/>
    <row r="43" spans="1:2" s="3" customFormat="1" x14ac:dyDescent="0.3"/>
    <row r="44" spans="1:2" s="3" customFormat="1" ht="25.8" customHeight="1" x14ac:dyDescent="0.3"/>
    <row r="45" spans="1:2" s="3" customFormat="1" ht="62.4" customHeight="1" x14ac:dyDescent="0.3"/>
    <row r="46" spans="1:2" s="3" customFormat="1" ht="88.8" customHeight="1" x14ac:dyDescent="0.3">
      <c r="A46" s="16"/>
      <c r="B46" s="17"/>
    </row>
    <row r="47" spans="1:2" s="3" customFormat="1" x14ac:dyDescent="0.3"/>
    <row r="48" spans="1:2" s="3" customFormat="1" x14ac:dyDescent="0.3"/>
    <row r="49" spans="2:2" s="3" customFormat="1" x14ac:dyDescent="0.3"/>
    <row r="50" spans="2:2" s="3" customFormat="1" x14ac:dyDescent="0.3"/>
    <row r="51" spans="2:2" s="3" customFormat="1" x14ac:dyDescent="0.3"/>
    <row r="52" spans="2:2" s="3" customFormat="1" x14ac:dyDescent="0.3"/>
    <row r="53" spans="2:2" s="3" customFormat="1" x14ac:dyDescent="0.3">
      <c r="B53" s="41"/>
    </row>
    <row r="54" spans="2:2" s="3" customFormat="1" x14ac:dyDescent="0.3">
      <c r="B54" s="41"/>
    </row>
    <row r="55" spans="2:2" s="3" customFormat="1" x14ac:dyDescent="0.3"/>
    <row r="56" spans="2:2" s="3" customFormat="1" x14ac:dyDescent="0.3"/>
    <row r="57" spans="2:2" s="3" customFormat="1" x14ac:dyDescent="0.3"/>
    <row r="58" spans="2:2" s="3" customFormat="1" x14ac:dyDescent="0.3"/>
    <row r="59" spans="2:2" s="3" customFormat="1" x14ac:dyDescent="0.3"/>
    <row r="60" spans="2:2" s="3" customFormat="1" x14ac:dyDescent="0.3"/>
    <row r="61" spans="2:2" s="3" customFormat="1" x14ac:dyDescent="0.3"/>
    <row r="62" spans="2:2" s="3" customFormat="1" x14ac:dyDescent="0.3"/>
    <row r="63" spans="2:2" s="3" customFormat="1" x14ac:dyDescent="0.3"/>
    <row r="64" spans="2:2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</sheetData>
  <mergeCells count="5">
    <mergeCell ref="B53:B54"/>
    <mergeCell ref="A1:B1"/>
    <mergeCell ref="A2:B2"/>
    <mergeCell ref="A26:A27"/>
    <mergeCell ref="B26:B27"/>
  </mergeCells>
  <pageMargins left="0.7" right="0.7" top="0.75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67A2-982C-42D6-A4C0-AC5751B91A49}">
  <dimension ref="A1:D39"/>
  <sheetViews>
    <sheetView topLeftCell="A31" zoomScaleNormal="100" workbookViewId="0">
      <selection activeCell="G25" sqref="G25"/>
    </sheetView>
  </sheetViews>
  <sheetFormatPr defaultRowHeight="14.4" x14ac:dyDescent="0.3"/>
  <cols>
    <col min="1" max="1" width="23.5546875" customWidth="1"/>
    <col min="2" max="2" width="25.77734375" customWidth="1"/>
  </cols>
  <sheetData>
    <row r="1" spans="1:4" ht="31.2" x14ac:dyDescent="0.3">
      <c r="A1" s="35" t="s">
        <v>0</v>
      </c>
      <c r="B1" s="35"/>
      <c r="C1" s="3"/>
      <c r="D1" s="3"/>
    </row>
    <row r="2" spans="1:4" ht="25.8" x14ac:dyDescent="0.3">
      <c r="A2" s="36" t="s">
        <v>21</v>
      </c>
      <c r="B2" s="36"/>
      <c r="C2" s="3"/>
      <c r="D2" s="3"/>
    </row>
    <row r="3" spans="1:4" ht="25.8" x14ac:dyDescent="0.3">
      <c r="A3" s="22" t="s">
        <v>1</v>
      </c>
      <c r="B3" s="22" t="s">
        <v>2</v>
      </c>
      <c r="C3" s="3"/>
      <c r="D3" s="3"/>
    </row>
    <row r="4" spans="1:4" ht="21" x14ac:dyDescent="0.3">
      <c r="A4" s="12">
        <v>66677</v>
      </c>
      <c r="B4" s="14">
        <v>1810</v>
      </c>
      <c r="C4" s="3"/>
      <c r="D4" s="3"/>
    </row>
    <row r="5" spans="1:4" ht="21" x14ac:dyDescent="0.3">
      <c r="A5" s="12">
        <v>66678</v>
      </c>
      <c r="B5" s="14">
        <v>525</v>
      </c>
      <c r="C5" s="3"/>
      <c r="D5" s="3"/>
    </row>
    <row r="6" spans="1:4" ht="21" x14ac:dyDescent="0.3">
      <c r="A6" s="12">
        <v>66679</v>
      </c>
      <c r="B6" s="14">
        <v>500</v>
      </c>
      <c r="C6" s="3"/>
      <c r="D6" s="3"/>
    </row>
    <row r="7" spans="1:4" ht="21" x14ac:dyDescent="0.3">
      <c r="A7" s="12">
        <v>66680</v>
      </c>
      <c r="B7" s="14">
        <v>770</v>
      </c>
      <c r="C7" s="3"/>
      <c r="D7" s="3"/>
    </row>
    <row r="8" spans="1:4" ht="21" x14ac:dyDescent="0.3">
      <c r="A8" s="12">
        <v>66681</v>
      </c>
      <c r="B8" s="14">
        <v>600</v>
      </c>
      <c r="C8" s="3"/>
      <c r="D8" s="3"/>
    </row>
    <row r="9" spans="1:4" ht="21" x14ac:dyDescent="0.3">
      <c r="A9" s="12">
        <v>66682</v>
      </c>
      <c r="B9" s="14">
        <v>2180</v>
      </c>
      <c r="C9" s="3"/>
      <c r="D9" s="3"/>
    </row>
    <row r="10" spans="1:4" ht="21" x14ac:dyDescent="0.3">
      <c r="A10" s="12">
        <v>66684</v>
      </c>
      <c r="B10" s="14">
        <v>690</v>
      </c>
      <c r="C10" s="3"/>
      <c r="D10" s="3"/>
    </row>
    <row r="11" spans="1:4" ht="21" x14ac:dyDescent="0.3">
      <c r="A11" s="12">
        <v>66685</v>
      </c>
      <c r="B11" s="14">
        <v>1520</v>
      </c>
      <c r="C11" s="3"/>
      <c r="D11" s="3"/>
    </row>
    <row r="12" spans="1:4" ht="21" x14ac:dyDescent="0.3">
      <c r="A12" s="12">
        <v>66686</v>
      </c>
      <c r="B12" s="14">
        <v>2190</v>
      </c>
      <c r="C12" s="3"/>
      <c r="D12" s="3"/>
    </row>
    <row r="13" spans="1:4" ht="21" x14ac:dyDescent="0.3">
      <c r="A13" s="12">
        <v>66687</v>
      </c>
      <c r="B13" s="14">
        <v>3370</v>
      </c>
      <c r="C13" s="3"/>
      <c r="D13" s="3"/>
    </row>
    <row r="14" spans="1:4" ht="21" x14ac:dyDescent="0.3">
      <c r="A14" s="12">
        <v>66515</v>
      </c>
      <c r="B14" s="14">
        <v>1450</v>
      </c>
      <c r="C14" s="3"/>
      <c r="D14" s="3"/>
    </row>
    <row r="15" spans="1:4" ht="21" x14ac:dyDescent="0.3">
      <c r="A15" s="12">
        <v>66574</v>
      </c>
      <c r="B15" s="14">
        <v>1000</v>
      </c>
      <c r="C15" s="3"/>
      <c r="D15" s="3"/>
    </row>
    <row r="16" spans="1:4" ht="21" x14ac:dyDescent="0.3">
      <c r="A16" s="12">
        <v>66604</v>
      </c>
      <c r="B16" s="14">
        <v>3180</v>
      </c>
      <c r="C16" s="3"/>
      <c r="D16" s="3"/>
    </row>
    <row r="17" spans="1:4" ht="21" x14ac:dyDescent="0.3">
      <c r="A17" s="12">
        <v>66635</v>
      </c>
      <c r="B17" s="14">
        <v>500</v>
      </c>
      <c r="C17" s="3"/>
      <c r="D17" s="3"/>
    </row>
    <row r="18" spans="1:4" ht="21" x14ac:dyDescent="0.3">
      <c r="A18" s="12">
        <v>66665</v>
      </c>
      <c r="B18" s="14">
        <v>2025</v>
      </c>
      <c r="C18" s="3"/>
      <c r="D18" s="3"/>
    </row>
    <row r="19" spans="1:4" ht="21" x14ac:dyDescent="0.3">
      <c r="A19" s="12">
        <v>66696</v>
      </c>
      <c r="B19" s="14">
        <v>2360</v>
      </c>
      <c r="C19" s="3"/>
      <c r="D19" s="3"/>
    </row>
    <row r="20" spans="1:4" ht="21" x14ac:dyDescent="0.3">
      <c r="A20" s="12">
        <v>66727</v>
      </c>
      <c r="B20" s="14">
        <v>1715</v>
      </c>
      <c r="C20" s="3"/>
      <c r="D20" s="3"/>
    </row>
    <row r="21" spans="1:4" ht="21" x14ac:dyDescent="0.3">
      <c r="A21" s="12">
        <v>66757</v>
      </c>
      <c r="B21" s="14">
        <v>2415</v>
      </c>
      <c r="C21" s="3"/>
      <c r="D21" s="3"/>
    </row>
    <row r="22" spans="1:4" ht="21" x14ac:dyDescent="0.3">
      <c r="A22" s="12">
        <v>66788</v>
      </c>
      <c r="B22" s="14">
        <v>635</v>
      </c>
      <c r="C22" s="3"/>
      <c r="D22" s="3"/>
    </row>
    <row r="23" spans="1:4" ht="21" x14ac:dyDescent="0.3">
      <c r="A23" s="12">
        <v>66818</v>
      </c>
      <c r="B23" s="14">
        <v>1440</v>
      </c>
      <c r="C23" s="3"/>
      <c r="D23" s="3"/>
    </row>
    <row r="24" spans="1:4" ht="21" x14ac:dyDescent="0.3">
      <c r="A24" s="12" t="s">
        <v>11</v>
      </c>
      <c r="B24" s="14">
        <v>3150</v>
      </c>
      <c r="C24" s="3"/>
      <c r="D24" s="3"/>
    </row>
    <row r="25" spans="1:4" ht="21" x14ac:dyDescent="0.3">
      <c r="A25" s="12" t="s">
        <v>12</v>
      </c>
      <c r="B25" s="14">
        <v>830</v>
      </c>
      <c r="C25" s="3"/>
      <c r="D25" s="3"/>
    </row>
    <row r="26" spans="1:4" ht="21" x14ac:dyDescent="0.3">
      <c r="A26" s="12" t="s">
        <v>13</v>
      </c>
      <c r="B26" s="14">
        <v>1635</v>
      </c>
      <c r="C26" s="3"/>
      <c r="D26" s="3"/>
    </row>
    <row r="27" spans="1:4" ht="21" x14ac:dyDescent="0.3">
      <c r="A27" s="12" t="s">
        <v>14</v>
      </c>
      <c r="B27" s="14">
        <v>2600</v>
      </c>
      <c r="C27" s="3"/>
      <c r="D27" s="3"/>
    </row>
    <row r="28" spans="1:4" ht="21" x14ac:dyDescent="0.3">
      <c r="A28" s="12" t="s">
        <v>15</v>
      </c>
      <c r="B28" s="14">
        <v>910</v>
      </c>
      <c r="C28" s="3"/>
      <c r="D28" s="3"/>
    </row>
    <row r="29" spans="1:4" ht="21" x14ac:dyDescent="0.3">
      <c r="A29" s="12" t="s">
        <v>16</v>
      </c>
      <c r="B29" s="14">
        <v>1485</v>
      </c>
      <c r="C29" s="3"/>
      <c r="D29" s="3"/>
    </row>
    <row r="30" spans="1:4" ht="21" x14ac:dyDescent="0.3">
      <c r="A30" s="12" t="s">
        <v>17</v>
      </c>
      <c r="B30" s="14">
        <v>2420</v>
      </c>
      <c r="C30" s="3"/>
      <c r="D30" s="3"/>
    </row>
    <row r="31" spans="1:4" ht="21" x14ac:dyDescent="0.3">
      <c r="A31" s="12" t="s">
        <v>18</v>
      </c>
      <c r="B31" s="14">
        <v>420</v>
      </c>
      <c r="C31" s="3"/>
      <c r="D31" s="3"/>
    </row>
    <row r="32" spans="1:4" ht="21" x14ac:dyDescent="0.3">
      <c r="A32" s="12" t="s">
        <v>19</v>
      </c>
      <c r="B32" s="14">
        <v>1090</v>
      </c>
      <c r="C32" s="3"/>
      <c r="D32" s="3"/>
    </row>
    <row r="33" spans="1:4" ht="21" x14ac:dyDescent="0.3">
      <c r="A33" s="12" t="s">
        <v>20</v>
      </c>
      <c r="B33" s="14">
        <v>1155</v>
      </c>
      <c r="C33" s="3"/>
      <c r="D33" s="3"/>
    </row>
    <row r="34" spans="1:4" x14ac:dyDescent="0.3">
      <c r="A34" s="23"/>
      <c r="B34" s="23"/>
      <c r="C34" s="3"/>
      <c r="D34" s="3"/>
    </row>
    <row r="35" spans="1:4" x14ac:dyDescent="0.3">
      <c r="A35" s="23"/>
      <c r="B35" s="23"/>
      <c r="C35" s="3"/>
      <c r="D35" s="3"/>
    </row>
    <row r="36" spans="1:4" x14ac:dyDescent="0.3">
      <c r="A36" s="43" t="s">
        <v>3</v>
      </c>
      <c r="B36" s="43">
        <f>SUM(B4:B33)</f>
        <v>46570</v>
      </c>
      <c r="C36" s="3"/>
      <c r="D36" s="3"/>
    </row>
    <row r="37" spans="1:4" x14ac:dyDescent="0.3">
      <c r="A37" s="43"/>
      <c r="B37" s="43"/>
      <c r="C37" s="3"/>
      <c r="D37" s="3"/>
    </row>
    <row r="38" spans="1:4" x14ac:dyDescent="0.3">
      <c r="A38" s="44" t="s">
        <v>22</v>
      </c>
      <c r="B38" s="44"/>
    </row>
    <row r="39" spans="1:4" x14ac:dyDescent="0.3">
      <c r="A39" s="45"/>
      <c r="B39" s="45"/>
    </row>
  </sheetData>
  <mergeCells count="5">
    <mergeCell ref="A1:B1"/>
    <mergeCell ref="A2:B2"/>
    <mergeCell ref="A36:A37"/>
    <mergeCell ref="B36:B37"/>
    <mergeCell ref="A38:B39"/>
  </mergeCells>
  <pageMargins left="0.7" right="0.7" top="0.75" bottom="0.75" header="0.3" footer="0.3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A12F-9798-4148-B2E7-8A85CD944EB8}">
  <dimension ref="A1:D40"/>
  <sheetViews>
    <sheetView topLeftCell="A28" workbookViewId="0">
      <selection activeCell="B45" sqref="B45"/>
    </sheetView>
  </sheetViews>
  <sheetFormatPr defaultRowHeight="14.4" x14ac:dyDescent="0.3"/>
  <cols>
    <col min="1" max="1" width="29.21875" customWidth="1"/>
    <col min="2" max="2" width="18.6640625" customWidth="1"/>
    <col min="3" max="3" width="13.77734375" customWidth="1"/>
    <col min="14" max="14" width="14.109375" customWidth="1"/>
    <col min="15" max="15" width="13.21875" customWidth="1"/>
  </cols>
  <sheetData>
    <row r="1" spans="1:4" ht="31.2" x14ac:dyDescent="0.3">
      <c r="A1" s="35" t="s">
        <v>0</v>
      </c>
      <c r="B1" s="35"/>
    </row>
    <row r="2" spans="1:4" ht="25.8" x14ac:dyDescent="0.3">
      <c r="A2" s="36" t="s">
        <v>23</v>
      </c>
      <c r="B2" s="36"/>
    </row>
    <row r="3" spans="1:4" ht="25.8" x14ac:dyDescent="0.3">
      <c r="A3" s="22" t="s">
        <v>1</v>
      </c>
      <c r="B3" s="22" t="s">
        <v>2</v>
      </c>
    </row>
    <row r="4" spans="1:4" ht="21" x14ac:dyDescent="0.3">
      <c r="A4" s="12">
        <v>66711</v>
      </c>
      <c r="B4" s="14">
        <v>1010</v>
      </c>
      <c r="D4" s="24"/>
    </row>
    <row r="5" spans="1:4" ht="21" x14ac:dyDescent="0.3">
      <c r="A5" s="12">
        <v>66712</v>
      </c>
      <c r="B5" s="14">
        <v>950</v>
      </c>
      <c r="D5" s="24"/>
    </row>
    <row r="6" spans="1:4" ht="21" x14ac:dyDescent="0.3">
      <c r="A6" s="12">
        <v>66713</v>
      </c>
      <c r="B6" s="14">
        <v>2760</v>
      </c>
    </row>
    <row r="7" spans="1:4" ht="21" x14ac:dyDescent="0.3">
      <c r="A7" s="12">
        <v>66714</v>
      </c>
      <c r="B7" s="14">
        <v>1600</v>
      </c>
    </row>
    <row r="8" spans="1:4" ht="21" x14ac:dyDescent="0.3">
      <c r="A8" s="12">
        <v>66715</v>
      </c>
      <c r="B8" s="14">
        <v>1320</v>
      </c>
    </row>
    <row r="9" spans="1:4" ht="21" x14ac:dyDescent="0.3">
      <c r="A9" s="12">
        <v>66716</v>
      </c>
      <c r="B9" s="14">
        <v>465</v>
      </c>
    </row>
    <row r="10" spans="1:4" ht="21" x14ac:dyDescent="0.3">
      <c r="A10" s="12">
        <v>66717</v>
      </c>
      <c r="B10" s="14">
        <v>910</v>
      </c>
    </row>
    <row r="11" spans="1:4" ht="21" x14ac:dyDescent="0.3">
      <c r="A11" s="12">
        <v>66721</v>
      </c>
      <c r="B11" s="14">
        <v>1020</v>
      </c>
    </row>
    <row r="12" spans="1:4" ht="21" x14ac:dyDescent="0.3">
      <c r="A12" s="12">
        <v>66722</v>
      </c>
      <c r="B12" s="14">
        <v>1450</v>
      </c>
    </row>
    <row r="13" spans="1:4" ht="21" x14ac:dyDescent="0.3">
      <c r="A13" s="12">
        <v>66726</v>
      </c>
      <c r="B13" s="14">
        <v>1750</v>
      </c>
    </row>
    <row r="14" spans="1:4" ht="21" x14ac:dyDescent="0.3">
      <c r="A14" s="12">
        <v>66727</v>
      </c>
      <c r="B14" s="14">
        <v>2740</v>
      </c>
    </row>
    <row r="15" spans="1:4" ht="21" x14ac:dyDescent="0.3">
      <c r="A15" s="12">
        <v>66728</v>
      </c>
      <c r="B15" s="14">
        <v>3565</v>
      </c>
    </row>
    <row r="16" spans="1:4" ht="21" x14ac:dyDescent="0.3">
      <c r="A16" s="12">
        <v>66729</v>
      </c>
      <c r="B16" s="14">
        <v>940</v>
      </c>
    </row>
    <row r="17" spans="1:2" ht="21" x14ac:dyDescent="0.3">
      <c r="A17" s="12">
        <v>66730</v>
      </c>
      <c r="B17" s="14">
        <v>1385</v>
      </c>
    </row>
    <row r="18" spans="1:2" ht="21" x14ac:dyDescent="0.3">
      <c r="A18" s="12">
        <v>66731</v>
      </c>
      <c r="B18" s="14">
        <v>1025</v>
      </c>
    </row>
    <row r="19" spans="1:2" ht="21" x14ac:dyDescent="0.3">
      <c r="A19" s="12">
        <v>66732</v>
      </c>
      <c r="B19" s="14">
        <v>250</v>
      </c>
    </row>
    <row r="20" spans="1:2" ht="21" x14ac:dyDescent="0.3">
      <c r="A20" s="12">
        <v>66733</v>
      </c>
      <c r="B20" s="14"/>
    </row>
    <row r="21" spans="1:2" ht="21" x14ac:dyDescent="0.3">
      <c r="A21" s="12">
        <v>66734</v>
      </c>
      <c r="B21" s="14">
        <v>5025</v>
      </c>
    </row>
    <row r="22" spans="1:2" ht="21" x14ac:dyDescent="0.3">
      <c r="A22" s="12">
        <v>66735</v>
      </c>
      <c r="B22" s="14">
        <v>410</v>
      </c>
    </row>
    <row r="23" spans="1:2" ht="21" x14ac:dyDescent="0.3">
      <c r="A23" s="12">
        <v>66736</v>
      </c>
      <c r="B23" s="14">
        <v>810</v>
      </c>
    </row>
    <row r="24" spans="1:2" ht="21" x14ac:dyDescent="0.3">
      <c r="A24" s="12">
        <v>66737</v>
      </c>
      <c r="B24" s="14">
        <v>1240</v>
      </c>
    </row>
    <row r="25" spans="1:2" ht="21" x14ac:dyDescent="0.3">
      <c r="A25" s="12">
        <v>66738</v>
      </c>
      <c r="B25" s="14">
        <v>1075</v>
      </c>
    </row>
    <row r="26" spans="1:2" ht="21" x14ac:dyDescent="0.3">
      <c r="A26" s="12">
        <v>66739</v>
      </c>
      <c r="B26" s="14">
        <v>1230</v>
      </c>
    </row>
    <row r="27" spans="1:2" ht="21" x14ac:dyDescent="0.3">
      <c r="A27" s="12">
        <v>66740</v>
      </c>
      <c r="B27" s="14">
        <v>630</v>
      </c>
    </row>
    <row r="28" spans="1:2" ht="21" x14ac:dyDescent="0.3">
      <c r="A28" s="12">
        <v>66741</v>
      </c>
      <c r="B28" s="14"/>
    </row>
    <row r="29" spans="1:2" ht="21" x14ac:dyDescent="0.3">
      <c r="A29" s="12">
        <v>66742</v>
      </c>
      <c r="B29" s="14">
        <v>2370</v>
      </c>
    </row>
    <row r="30" spans="1:2" ht="21" x14ac:dyDescent="0.3">
      <c r="A30" s="12">
        <v>66743</v>
      </c>
      <c r="B30" s="14">
        <v>795</v>
      </c>
    </row>
    <row r="31" spans="1:2" ht="21" x14ac:dyDescent="0.3">
      <c r="A31" s="12">
        <v>66744</v>
      </c>
      <c r="B31" s="14">
        <v>1075</v>
      </c>
    </row>
    <row r="32" spans="1:2" ht="21" x14ac:dyDescent="0.3">
      <c r="A32" s="12">
        <v>66745</v>
      </c>
      <c r="B32" s="14">
        <v>320</v>
      </c>
    </row>
    <row r="33" spans="1:3" ht="21" x14ac:dyDescent="0.3">
      <c r="A33" s="12">
        <v>66746</v>
      </c>
      <c r="B33" s="14">
        <v>700</v>
      </c>
      <c r="C33" s="25" t="s">
        <v>24</v>
      </c>
    </row>
    <row r="34" spans="1:3" ht="21" x14ac:dyDescent="0.3">
      <c r="A34" s="12">
        <v>66747</v>
      </c>
      <c r="B34" s="14">
        <v>1670</v>
      </c>
    </row>
    <row r="35" spans="1:3" ht="21" x14ac:dyDescent="0.3">
      <c r="A35" s="12">
        <v>66748</v>
      </c>
      <c r="B35" s="14">
        <v>2295</v>
      </c>
    </row>
    <row r="36" spans="1:3" ht="21" x14ac:dyDescent="0.3">
      <c r="A36" s="12">
        <v>66749</v>
      </c>
      <c r="B36" s="26">
        <v>455</v>
      </c>
    </row>
    <row r="37" spans="1:3" x14ac:dyDescent="0.3">
      <c r="A37" s="43" t="s">
        <v>3</v>
      </c>
      <c r="B37" s="43">
        <f>SUM(B4:B36)</f>
        <v>43240</v>
      </c>
    </row>
    <row r="38" spans="1:3" x14ac:dyDescent="0.3">
      <c r="A38" s="43"/>
      <c r="B38" s="43"/>
    </row>
    <row r="39" spans="1:3" x14ac:dyDescent="0.3">
      <c r="A39" s="38" t="s">
        <v>22</v>
      </c>
      <c r="B39" s="38"/>
    </row>
    <row r="40" spans="1:3" x14ac:dyDescent="0.3">
      <c r="A40" s="46"/>
      <c r="B40" s="46"/>
    </row>
  </sheetData>
  <mergeCells count="5">
    <mergeCell ref="A1:B1"/>
    <mergeCell ref="A2:B2"/>
    <mergeCell ref="A37:A38"/>
    <mergeCell ref="B37:B38"/>
    <mergeCell ref="A39:B4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F29A-9DCD-45AF-9055-1A33A827149D}">
  <dimension ref="A1:E26"/>
  <sheetViews>
    <sheetView workbookViewId="0">
      <selection activeCell="A25" sqref="A25:E26"/>
    </sheetView>
  </sheetViews>
  <sheetFormatPr defaultColWidth="26.109375" defaultRowHeight="14.4" x14ac:dyDescent="0.3"/>
  <cols>
    <col min="2" max="2" width="17.33203125" customWidth="1"/>
    <col min="3" max="3" width="9" customWidth="1"/>
    <col min="4" max="4" width="19.109375" customWidth="1"/>
    <col min="5" max="5" width="21" customWidth="1"/>
  </cols>
  <sheetData>
    <row r="1" spans="1:5" ht="31.2" x14ac:dyDescent="0.3">
      <c r="A1" s="35" t="s">
        <v>0</v>
      </c>
      <c r="B1" s="35"/>
      <c r="C1" s="35"/>
      <c r="D1" s="35"/>
      <c r="E1" s="35"/>
    </row>
    <row r="2" spans="1:5" ht="25.8" x14ac:dyDescent="0.3">
      <c r="A2" s="36" t="s">
        <v>25</v>
      </c>
      <c r="B2" s="36"/>
      <c r="C2" s="36"/>
      <c r="D2" s="36"/>
      <c r="E2" s="36"/>
    </row>
    <row r="3" spans="1:5" ht="25.8" x14ac:dyDescent="0.3">
      <c r="A3" s="27" t="s">
        <v>1</v>
      </c>
      <c r="B3" s="27" t="s">
        <v>2</v>
      </c>
      <c r="C3" s="33"/>
      <c r="D3" s="27" t="s">
        <v>1</v>
      </c>
      <c r="E3" s="27" t="s">
        <v>2</v>
      </c>
    </row>
    <row r="4" spans="1:5" ht="21" x14ac:dyDescent="0.3">
      <c r="A4" s="12">
        <v>66750</v>
      </c>
      <c r="B4" s="14">
        <v>970</v>
      </c>
      <c r="C4" s="33"/>
      <c r="D4" s="12">
        <v>66765</v>
      </c>
      <c r="E4" s="14">
        <v>220</v>
      </c>
    </row>
    <row r="5" spans="1:5" ht="21" x14ac:dyDescent="0.3">
      <c r="A5" s="12">
        <v>66751</v>
      </c>
      <c r="B5" s="14"/>
      <c r="C5" s="33"/>
      <c r="D5" s="12">
        <v>66766</v>
      </c>
      <c r="E5" s="14">
        <v>900</v>
      </c>
    </row>
    <row r="6" spans="1:5" ht="21" x14ac:dyDescent="0.3">
      <c r="A6" s="12">
        <v>66752</v>
      </c>
      <c r="B6" s="14">
        <v>350</v>
      </c>
      <c r="C6" s="33"/>
      <c r="D6" s="12">
        <v>66767</v>
      </c>
      <c r="E6" s="14">
        <v>180</v>
      </c>
    </row>
    <row r="7" spans="1:5" ht="21" x14ac:dyDescent="0.3">
      <c r="A7" s="12">
        <v>66753</v>
      </c>
      <c r="B7" s="14">
        <v>1060</v>
      </c>
      <c r="C7" s="33"/>
      <c r="D7" s="12">
        <v>66768</v>
      </c>
      <c r="E7" s="14">
        <v>1120</v>
      </c>
    </row>
    <row r="8" spans="1:5" ht="21" x14ac:dyDescent="0.3">
      <c r="A8" s="12">
        <v>66754</v>
      </c>
      <c r="B8" s="14">
        <v>580</v>
      </c>
      <c r="C8" s="33"/>
      <c r="D8" s="12">
        <v>66769</v>
      </c>
      <c r="E8" s="14">
        <v>1055</v>
      </c>
    </row>
    <row r="9" spans="1:5" ht="21" x14ac:dyDescent="0.3">
      <c r="A9" s="12">
        <v>66755</v>
      </c>
      <c r="B9" s="14">
        <v>770</v>
      </c>
      <c r="C9" s="33"/>
      <c r="D9" s="12">
        <v>66770</v>
      </c>
      <c r="E9" s="14">
        <v>1180</v>
      </c>
    </row>
    <row r="10" spans="1:5" ht="21" x14ac:dyDescent="0.3">
      <c r="A10" s="12">
        <v>66756</v>
      </c>
      <c r="B10" s="14">
        <v>940</v>
      </c>
      <c r="C10" s="33"/>
      <c r="D10" s="12">
        <v>66771</v>
      </c>
      <c r="E10" s="14">
        <v>2200</v>
      </c>
    </row>
    <row r="11" spans="1:5" ht="21" x14ac:dyDescent="0.3">
      <c r="A11" s="12">
        <v>66757</v>
      </c>
      <c r="B11" s="14">
        <v>1460</v>
      </c>
      <c r="C11" s="33"/>
      <c r="D11" s="12">
        <v>66772</v>
      </c>
      <c r="E11" s="14">
        <v>2650</v>
      </c>
    </row>
    <row r="12" spans="1:5" ht="21" x14ac:dyDescent="0.3">
      <c r="A12" s="12">
        <v>66758</v>
      </c>
      <c r="B12" s="14">
        <v>720</v>
      </c>
      <c r="C12" s="33"/>
      <c r="D12" s="12">
        <v>66773</v>
      </c>
      <c r="E12" s="14">
        <v>840</v>
      </c>
    </row>
    <row r="13" spans="1:5" ht="21" x14ac:dyDescent="0.3">
      <c r="A13" s="12">
        <v>66759</v>
      </c>
      <c r="B13" s="14">
        <v>855</v>
      </c>
      <c r="C13" s="33"/>
      <c r="D13" s="12">
        <v>66774</v>
      </c>
      <c r="E13" s="14">
        <v>600</v>
      </c>
    </row>
    <row r="14" spans="1:5" ht="21" x14ac:dyDescent="0.3">
      <c r="A14" s="12">
        <v>66760</v>
      </c>
      <c r="B14" s="14">
        <v>780</v>
      </c>
      <c r="C14" s="33"/>
      <c r="D14" s="12">
        <v>66775</v>
      </c>
      <c r="E14" s="14">
        <v>1005</v>
      </c>
    </row>
    <row r="15" spans="1:5" ht="21" x14ac:dyDescent="0.3">
      <c r="A15" s="12">
        <v>66761</v>
      </c>
      <c r="B15" s="14">
        <v>690</v>
      </c>
      <c r="C15" s="33"/>
      <c r="D15" s="12">
        <v>66776</v>
      </c>
      <c r="E15" s="14">
        <v>2430</v>
      </c>
    </row>
    <row r="16" spans="1:5" ht="21" x14ac:dyDescent="0.3">
      <c r="A16" s="12">
        <v>66762</v>
      </c>
      <c r="B16" s="14">
        <v>1625</v>
      </c>
      <c r="C16" s="33"/>
      <c r="D16" s="12">
        <v>66777</v>
      </c>
      <c r="E16" s="14">
        <v>3640</v>
      </c>
    </row>
    <row r="17" spans="1:5" ht="21" x14ac:dyDescent="0.3">
      <c r="A17" s="12">
        <v>66763</v>
      </c>
      <c r="B17" s="14">
        <v>1040</v>
      </c>
      <c r="C17" s="33"/>
      <c r="D17" s="12">
        <v>66778</v>
      </c>
      <c r="E17" s="14">
        <v>1150</v>
      </c>
    </row>
    <row r="18" spans="1:5" ht="21" x14ac:dyDescent="0.3">
      <c r="A18" s="12">
        <v>66764</v>
      </c>
      <c r="B18" s="14">
        <v>960</v>
      </c>
      <c r="C18" s="33"/>
      <c r="D18" s="23"/>
      <c r="E18" s="23"/>
    </row>
    <row r="19" spans="1:5" x14ac:dyDescent="0.3">
      <c r="A19" s="23"/>
      <c r="B19" s="23"/>
      <c r="C19" s="33"/>
      <c r="D19" s="23"/>
      <c r="E19" s="23"/>
    </row>
    <row r="20" spans="1:5" x14ac:dyDescent="0.3">
      <c r="A20" s="23"/>
      <c r="B20" s="23"/>
      <c r="C20" s="33"/>
      <c r="D20" s="23"/>
      <c r="E20" s="23"/>
    </row>
    <row r="21" spans="1:5" x14ac:dyDescent="0.3">
      <c r="A21" s="23"/>
      <c r="B21" s="23"/>
      <c r="C21" s="33"/>
      <c r="D21" s="23"/>
      <c r="E21" s="23"/>
    </row>
    <row r="22" spans="1:5" x14ac:dyDescent="0.3">
      <c r="A22" s="23"/>
      <c r="B22" s="23"/>
      <c r="C22" s="33"/>
      <c r="D22" s="23"/>
      <c r="E22" s="23"/>
    </row>
    <row r="23" spans="1:5" ht="14.4" customHeight="1" x14ac:dyDescent="0.7">
      <c r="A23" s="47" t="s">
        <v>3</v>
      </c>
      <c r="B23" s="47"/>
      <c r="C23" s="29"/>
      <c r="D23" s="47">
        <f>SUM(B4:B18,E4:E19)</f>
        <v>31970</v>
      </c>
      <c r="E23" s="47"/>
    </row>
    <row r="24" spans="1:5" ht="14.4" customHeight="1" x14ac:dyDescent="0.7">
      <c r="A24" s="47"/>
      <c r="B24" s="47"/>
      <c r="C24" s="29"/>
      <c r="D24" s="47"/>
      <c r="E24" s="47"/>
    </row>
    <row r="25" spans="1:5" x14ac:dyDescent="0.3">
      <c r="A25" s="39" t="s">
        <v>27</v>
      </c>
      <c r="B25" s="39"/>
      <c r="C25" s="39"/>
      <c r="D25" s="39"/>
      <c r="E25" s="39"/>
    </row>
    <row r="26" spans="1:5" x14ac:dyDescent="0.3">
      <c r="A26" s="40"/>
      <c r="B26" s="40"/>
      <c r="C26" s="40"/>
      <c r="D26" s="40"/>
      <c r="E26" s="40"/>
    </row>
  </sheetData>
  <mergeCells count="6">
    <mergeCell ref="A25:E26"/>
    <mergeCell ref="A1:E1"/>
    <mergeCell ref="A2:E2"/>
    <mergeCell ref="C3:C22"/>
    <mergeCell ref="A23:B24"/>
    <mergeCell ref="D23:E24"/>
  </mergeCells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0CF7-4199-4697-8A1C-758F0C4FCA26}">
  <dimension ref="A1:E24"/>
  <sheetViews>
    <sheetView topLeftCell="A10" workbookViewId="0">
      <selection activeCell="F16" sqref="F16"/>
    </sheetView>
  </sheetViews>
  <sheetFormatPr defaultRowHeight="14.4" x14ac:dyDescent="0.3"/>
  <cols>
    <col min="1" max="1" width="20.5546875" customWidth="1"/>
    <col min="2" max="2" width="12.44140625" customWidth="1"/>
    <col min="4" max="4" width="18.21875" customWidth="1"/>
    <col min="5" max="5" width="19.109375" customWidth="1"/>
  </cols>
  <sheetData>
    <row r="1" spans="1:5" ht="31.2" x14ac:dyDescent="0.3">
      <c r="A1" s="35" t="s">
        <v>0</v>
      </c>
      <c r="B1" s="35"/>
      <c r="C1" s="35"/>
      <c r="D1" s="35"/>
      <c r="E1" s="35"/>
    </row>
    <row r="2" spans="1:5" ht="25.8" x14ac:dyDescent="0.3">
      <c r="A2" s="36" t="s">
        <v>26</v>
      </c>
      <c r="B2" s="36"/>
      <c r="C2" s="36"/>
      <c r="D2" s="36"/>
      <c r="E2" s="36"/>
    </row>
    <row r="3" spans="1:5" ht="25.8" x14ac:dyDescent="0.3">
      <c r="A3" s="28" t="s">
        <v>1</v>
      </c>
      <c r="B3" s="28" t="s">
        <v>2</v>
      </c>
      <c r="C3" s="33"/>
      <c r="D3" s="28" t="s">
        <v>1</v>
      </c>
      <c r="E3" s="28" t="s">
        <v>2</v>
      </c>
    </row>
    <row r="4" spans="1:5" ht="21" x14ac:dyDescent="0.3">
      <c r="A4" s="12">
        <v>66781</v>
      </c>
      <c r="B4" s="14">
        <v>815</v>
      </c>
      <c r="C4" s="33"/>
      <c r="D4" s="12">
        <v>66796</v>
      </c>
      <c r="E4" s="14">
        <v>1665</v>
      </c>
    </row>
    <row r="5" spans="1:5" ht="21" x14ac:dyDescent="0.3">
      <c r="A5" s="12">
        <v>66782</v>
      </c>
      <c r="B5" s="14">
        <v>2125</v>
      </c>
      <c r="C5" s="33"/>
      <c r="D5" s="12">
        <v>66797</v>
      </c>
      <c r="E5" s="14">
        <v>1765</v>
      </c>
    </row>
    <row r="6" spans="1:5" ht="21" x14ac:dyDescent="0.3">
      <c r="A6" s="12">
        <v>66783</v>
      </c>
      <c r="B6" s="14">
        <v>1500</v>
      </c>
      <c r="C6" s="33"/>
      <c r="D6" s="12">
        <v>66798</v>
      </c>
      <c r="E6" s="14">
        <v>1050</v>
      </c>
    </row>
    <row r="7" spans="1:5" ht="21" x14ac:dyDescent="0.3">
      <c r="A7" s="12">
        <v>66784</v>
      </c>
      <c r="B7" s="14">
        <v>680</v>
      </c>
      <c r="C7" s="33"/>
      <c r="D7" s="12">
        <v>66799</v>
      </c>
      <c r="E7" s="14">
        <v>1055</v>
      </c>
    </row>
    <row r="8" spans="1:5" ht="21" x14ac:dyDescent="0.3">
      <c r="A8" s="12">
        <v>66785</v>
      </c>
      <c r="B8" s="14">
        <v>700</v>
      </c>
      <c r="C8" s="33"/>
      <c r="D8" s="12">
        <v>66800</v>
      </c>
      <c r="E8" s="14"/>
    </row>
    <row r="9" spans="1:5" ht="21" x14ac:dyDescent="0.3">
      <c r="A9" s="12">
        <v>66786</v>
      </c>
      <c r="B9" s="14">
        <v>280</v>
      </c>
      <c r="C9" s="33"/>
      <c r="D9" s="12">
        <v>66801</v>
      </c>
      <c r="E9" s="14">
        <v>1415</v>
      </c>
    </row>
    <row r="10" spans="1:5" ht="21" x14ac:dyDescent="0.3">
      <c r="A10" s="12">
        <v>66787</v>
      </c>
      <c r="B10" s="14">
        <v>1640</v>
      </c>
      <c r="C10" s="33"/>
      <c r="D10" s="12">
        <v>66802</v>
      </c>
      <c r="E10" s="14"/>
    </row>
    <row r="11" spans="1:5" ht="21" x14ac:dyDescent="0.3">
      <c r="A11" s="12">
        <v>66788</v>
      </c>
      <c r="B11" s="14"/>
      <c r="C11" s="33"/>
      <c r="D11" s="12">
        <v>66803</v>
      </c>
      <c r="E11" s="14">
        <v>915</v>
      </c>
    </row>
    <row r="12" spans="1:5" ht="21" x14ac:dyDescent="0.3">
      <c r="A12" s="12">
        <v>66789</v>
      </c>
      <c r="B12" s="14">
        <v>400</v>
      </c>
      <c r="C12" s="33"/>
      <c r="D12" s="12">
        <v>66804</v>
      </c>
      <c r="E12" s="14">
        <v>1130</v>
      </c>
    </row>
    <row r="13" spans="1:5" ht="21" x14ac:dyDescent="0.3">
      <c r="A13" s="12">
        <v>66790</v>
      </c>
      <c r="B13" s="14">
        <v>2140</v>
      </c>
      <c r="C13" s="33"/>
      <c r="D13" s="12">
        <v>66805</v>
      </c>
      <c r="E13" s="14">
        <v>1620</v>
      </c>
    </row>
    <row r="14" spans="1:5" ht="21" x14ac:dyDescent="0.3">
      <c r="A14" s="12">
        <v>66791</v>
      </c>
      <c r="B14" s="14">
        <v>1315</v>
      </c>
      <c r="C14" s="33"/>
      <c r="D14" s="12">
        <v>66806</v>
      </c>
      <c r="E14" s="14">
        <v>2650</v>
      </c>
    </row>
    <row r="15" spans="1:5" ht="21" x14ac:dyDescent="0.3">
      <c r="A15" s="12">
        <v>66792</v>
      </c>
      <c r="B15" s="14">
        <v>2080</v>
      </c>
      <c r="C15" s="33"/>
      <c r="D15" s="12">
        <v>66807</v>
      </c>
      <c r="E15" s="14">
        <v>640</v>
      </c>
    </row>
    <row r="16" spans="1:5" ht="21" x14ac:dyDescent="0.3">
      <c r="A16" s="12">
        <v>66793</v>
      </c>
      <c r="B16" s="14">
        <v>1505</v>
      </c>
      <c r="C16" s="33"/>
      <c r="D16" s="12">
        <v>66808</v>
      </c>
      <c r="E16" s="14"/>
    </row>
    <row r="17" spans="1:5" ht="21" x14ac:dyDescent="0.3">
      <c r="A17" s="12">
        <v>66794</v>
      </c>
      <c r="B17" s="14">
        <v>560</v>
      </c>
      <c r="C17" s="33"/>
      <c r="D17" s="12">
        <v>66809</v>
      </c>
      <c r="E17" s="14">
        <v>660</v>
      </c>
    </row>
    <row r="18" spans="1:5" ht="21" x14ac:dyDescent="0.3">
      <c r="A18" s="12">
        <v>66795</v>
      </c>
      <c r="B18" s="14">
        <v>1190</v>
      </c>
      <c r="C18" s="33"/>
      <c r="D18" s="12">
        <v>66810</v>
      </c>
      <c r="E18" s="23"/>
    </row>
    <row r="19" spans="1:5" x14ac:dyDescent="0.3">
      <c r="A19" s="23"/>
      <c r="B19" s="23"/>
      <c r="C19" s="33"/>
      <c r="D19" s="23"/>
      <c r="E19" s="23"/>
    </row>
    <row r="20" spans="1:5" x14ac:dyDescent="0.3">
      <c r="A20" s="23"/>
      <c r="B20" s="23"/>
      <c r="C20" s="33"/>
      <c r="D20" s="23"/>
      <c r="E20" s="23"/>
    </row>
    <row r="21" spans="1:5" x14ac:dyDescent="0.3">
      <c r="A21" s="23"/>
      <c r="B21" s="23"/>
      <c r="C21" s="33"/>
      <c r="D21" s="23"/>
      <c r="E21" s="23"/>
    </row>
    <row r="22" spans="1:5" x14ac:dyDescent="0.3">
      <c r="A22" s="23"/>
      <c r="B22" s="23"/>
      <c r="C22" s="33"/>
      <c r="D22" s="23"/>
      <c r="E22" s="23"/>
    </row>
    <row r="23" spans="1:5" ht="36.6" x14ac:dyDescent="0.7">
      <c r="A23" s="47" t="s">
        <v>3</v>
      </c>
      <c r="B23" s="47"/>
      <c r="C23" s="29"/>
      <c r="D23" s="47">
        <f>SUM(B4:B18,E4:E19)</f>
        <v>31495</v>
      </c>
      <c r="E23" s="47"/>
    </row>
    <row r="24" spans="1:5" ht="36.6" x14ac:dyDescent="0.7">
      <c r="A24" s="47"/>
      <c r="B24" s="47"/>
      <c r="C24" s="29"/>
      <c r="D24" s="47"/>
      <c r="E24" s="47"/>
    </row>
  </sheetData>
  <mergeCells count="5">
    <mergeCell ref="A1:E1"/>
    <mergeCell ref="A2:E2"/>
    <mergeCell ref="C3:C22"/>
    <mergeCell ref="A23:B24"/>
    <mergeCell ref="D23:E2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6E00-87EF-4092-910F-0193E5BE0905}">
  <dimension ref="A1:E34"/>
  <sheetViews>
    <sheetView topLeftCell="A22" workbookViewId="0">
      <selection activeCell="G34" sqref="G34"/>
    </sheetView>
  </sheetViews>
  <sheetFormatPr defaultRowHeight="14.4" x14ac:dyDescent="0.3"/>
  <cols>
    <col min="1" max="1" width="17.88671875" customWidth="1"/>
    <col min="2" max="2" width="15.6640625" customWidth="1"/>
    <col min="4" max="4" width="17.44140625" customWidth="1"/>
    <col min="5" max="5" width="15.88671875" customWidth="1"/>
  </cols>
  <sheetData>
    <row r="1" spans="1:5" ht="31.2" x14ac:dyDescent="0.3">
      <c r="A1" s="35" t="s">
        <v>0</v>
      </c>
      <c r="B1" s="35"/>
      <c r="C1" s="35"/>
      <c r="D1" s="35"/>
      <c r="E1" s="35"/>
    </row>
    <row r="2" spans="1:5" ht="25.8" x14ac:dyDescent="0.3">
      <c r="A2" s="36" t="s">
        <v>28</v>
      </c>
      <c r="B2" s="36"/>
      <c r="C2" s="36"/>
      <c r="D2" s="36"/>
      <c r="E2" s="36"/>
    </row>
    <row r="3" spans="1:5" ht="25.8" x14ac:dyDescent="0.3">
      <c r="A3" s="31" t="s">
        <v>1</v>
      </c>
      <c r="B3" s="31" t="s">
        <v>2</v>
      </c>
      <c r="C3" s="33"/>
      <c r="D3" s="31" t="s">
        <v>1</v>
      </c>
      <c r="E3" s="31" t="s">
        <v>2</v>
      </c>
    </row>
    <row r="4" spans="1:5" ht="21" x14ac:dyDescent="0.3">
      <c r="A4" s="12">
        <v>66811</v>
      </c>
      <c r="B4" s="14">
        <v>1620</v>
      </c>
      <c r="C4" s="33"/>
      <c r="D4" s="12">
        <v>66826</v>
      </c>
      <c r="E4" s="14">
        <v>1530</v>
      </c>
    </row>
    <row r="5" spans="1:5" ht="21" x14ac:dyDescent="0.3">
      <c r="A5" s="12">
        <v>66812</v>
      </c>
      <c r="B5" s="14">
        <v>480</v>
      </c>
      <c r="C5" s="33"/>
      <c r="D5" s="12">
        <v>66827</v>
      </c>
      <c r="E5" s="14">
        <v>2160</v>
      </c>
    </row>
    <row r="6" spans="1:5" ht="21" x14ac:dyDescent="0.3">
      <c r="A6" s="12">
        <v>66813</v>
      </c>
      <c r="B6" s="14">
        <v>2040</v>
      </c>
      <c r="C6" s="33"/>
      <c r="D6" s="12">
        <v>66828</v>
      </c>
      <c r="E6" s="14">
        <v>1040</v>
      </c>
    </row>
    <row r="7" spans="1:5" ht="21" x14ac:dyDescent="0.3">
      <c r="A7" s="12">
        <v>66814</v>
      </c>
      <c r="B7" s="14">
        <v>1480</v>
      </c>
      <c r="C7" s="33"/>
      <c r="D7" s="12">
        <v>66829</v>
      </c>
      <c r="E7" s="14">
        <v>400</v>
      </c>
    </row>
    <row r="8" spans="1:5" ht="21" x14ac:dyDescent="0.3">
      <c r="A8" s="12">
        <v>66815</v>
      </c>
      <c r="B8" s="14">
        <v>1345</v>
      </c>
      <c r="C8" s="33"/>
      <c r="D8" s="12">
        <v>66830</v>
      </c>
      <c r="E8" s="14">
        <v>2050</v>
      </c>
    </row>
    <row r="9" spans="1:5" ht="21" x14ac:dyDescent="0.3">
      <c r="A9" s="12">
        <v>66816</v>
      </c>
      <c r="B9" s="14">
        <v>1940</v>
      </c>
      <c r="C9" s="33"/>
      <c r="D9" s="12">
        <v>66831</v>
      </c>
      <c r="E9" s="14">
        <v>1225</v>
      </c>
    </row>
    <row r="10" spans="1:5" ht="21" x14ac:dyDescent="0.3">
      <c r="A10" s="12">
        <v>66817</v>
      </c>
      <c r="B10" s="14">
        <v>2280</v>
      </c>
      <c r="C10" s="33"/>
      <c r="D10" s="12">
        <v>66832</v>
      </c>
      <c r="E10" s="14">
        <v>2830</v>
      </c>
    </row>
    <row r="11" spans="1:5" ht="21" x14ac:dyDescent="0.3">
      <c r="A11" s="12">
        <v>66818</v>
      </c>
      <c r="B11" s="14">
        <v>1680</v>
      </c>
      <c r="C11" s="33"/>
      <c r="D11" s="12">
        <v>66833</v>
      </c>
      <c r="E11" s="14">
        <v>1240</v>
      </c>
    </row>
    <row r="12" spans="1:5" ht="21" x14ac:dyDescent="0.3">
      <c r="A12" s="12">
        <v>66819</v>
      </c>
      <c r="B12" s="14">
        <v>1550</v>
      </c>
      <c r="C12" s="33"/>
      <c r="D12" s="12">
        <v>66834</v>
      </c>
      <c r="E12" s="14">
        <v>870</v>
      </c>
    </row>
    <row r="13" spans="1:5" ht="21" x14ac:dyDescent="0.3">
      <c r="A13" s="12">
        <v>66820</v>
      </c>
      <c r="B13" s="14">
        <v>210</v>
      </c>
      <c r="C13" s="33"/>
      <c r="D13" s="12">
        <v>66835</v>
      </c>
      <c r="E13" s="14">
        <v>2695</v>
      </c>
    </row>
    <row r="14" spans="1:5" ht="21" x14ac:dyDescent="0.3">
      <c r="A14" s="12">
        <v>66821</v>
      </c>
      <c r="B14" s="14">
        <v>960</v>
      </c>
      <c r="C14" s="33"/>
      <c r="D14" s="12">
        <v>66836</v>
      </c>
      <c r="E14" s="14">
        <v>530</v>
      </c>
    </row>
    <row r="15" spans="1:5" ht="21" x14ac:dyDescent="0.3">
      <c r="A15" s="12">
        <v>66822</v>
      </c>
      <c r="B15" s="14">
        <v>1500</v>
      </c>
      <c r="C15" s="33"/>
      <c r="D15" s="12">
        <v>66837</v>
      </c>
      <c r="E15" s="14">
        <v>2070</v>
      </c>
    </row>
    <row r="16" spans="1:5" ht="21" x14ac:dyDescent="0.3">
      <c r="A16" s="12">
        <v>66823</v>
      </c>
      <c r="B16" s="14">
        <v>2160</v>
      </c>
      <c r="C16" s="33"/>
      <c r="D16" s="12">
        <v>66838</v>
      </c>
      <c r="E16" s="14">
        <v>1930</v>
      </c>
    </row>
    <row r="17" spans="1:5" ht="21" x14ac:dyDescent="0.3">
      <c r="A17" s="12">
        <v>66824</v>
      </c>
      <c r="B17" s="14">
        <v>3000</v>
      </c>
      <c r="C17" s="33"/>
      <c r="D17" s="12">
        <v>66839</v>
      </c>
      <c r="E17" s="14">
        <v>1035</v>
      </c>
    </row>
    <row r="18" spans="1:5" ht="21" x14ac:dyDescent="0.3">
      <c r="A18" s="12">
        <v>66825</v>
      </c>
      <c r="B18" s="14">
        <v>2970</v>
      </c>
      <c r="C18" s="33"/>
      <c r="D18" s="12">
        <v>66840</v>
      </c>
      <c r="E18" s="14">
        <v>3725</v>
      </c>
    </row>
    <row r="19" spans="1:5" x14ac:dyDescent="0.3">
      <c r="A19" s="23"/>
      <c r="B19" s="23"/>
      <c r="C19" s="33"/>
      <c r="D19" s="23"/>
      <c r="E19" s="23"/>
    </row>
    <row r="20" spans="1:5" x14ac:dyDescent="0.3">
      <c r="A20" s="23"/>
      <c r="B20" s="23"/>
      <c r="C20" s="33"/>
      <c r="D20" s="23"/>
      <c r="E20" s="23"/>
    </row>
    <row r="21" spans="1:5" x14ac:dyDescent="0.3">
      <c r="A21" s="23"/>
      <c r="B21" s="23"/>
      <c r="C21" s="33"/>
      <c r="D21" s="23"/>
      <c r="E21" s="23"/>
    </row>
    <row r="22" spans="1:5" x14ac:dyDescent="0.3">
      <c r="A22" s="23"/>
      <c r="B22" s="23"/>
      <c r="C22" s="33"/>
      <c r="D22" s="23"/>
      <c r="E22" s="23"/>
    </row>
    <row r="23" spans="1:5" ht="36.6" x14ac:dyDescent="0.7">
      <c r="A23" s="47" t="s">
        <v>3</v>
      </c>
      <c r="B23" s="47"/>
      <c r="C23" s="29"/>
      <c r="D23" s="47">
        <f>SUM(B4:B18,E4:E19)</f>
        <v>50545</v>
      </c>
      <c r="E23" s="47"/>
    </row>
    <row r="24" spans="1:5" ht="36.6" x14ac:dyDescent="0.7">
      <c r="A24" s="47"/>
      <c r="B24" s="47"/>
      <c r="C24" s="29"/>
      <c r="D24" s="47"/>
      <c r="E24" s="47"/>
    </row>
    <row r="25" spans="1:5" x14ac:dyDescent="0.3">
      <c r="A25" s="48" t="s">
        <v>30</v>
      </c>
      <c r="B25" s="48"/>
      <c r="C25" s="48"/>
      <c r="D25" s="48">
        <v>31495</v>
      </c>
      <c r="E25" s="48"/>
    </row>
    <row r="26" spans="1:5" x14ac:dyDescent="0.3">
      <c r="A26" s="48"/>
      <c r="B26" s="48"/>
      <c r="C26" s="48"/>
      <c r="D26" s="48"/>
      <c r="E26" s="48"/>
    </row>
    <row r="27" spans="1:5" x14ac:dyDescent="0.3">
      <c r="A27" s="48" t="s">
        <v>31</v>
      </c>
      <c r="B27" s="48"/>
      <c r="C27" s="48"/>
      <c r="D27" s="48">
        <v>50545</v>
      </c>
      <c r="E27" s="48"/>
    </row>
    <row r="28" spans="1:5" x14ac:dyDescent="0.3">
      <c r="A28" s="48"/>
      <c r="B28" s="48"/>
      <c r="C28" s="48"/>
      <c r="D28" s="48"/>
      <c r="E28" s="48"/>
    </row>
    <row r="29" spans="1:5" x14ac:dyDescent="0.3">
      <c r="A29" s="48" t="s">
        <v>33</v>
      </c>
      <c r="B29" s="48"/>
      <c r="C29" s="48"/>
      <c r="D29" s="48">
        <f>D25+D27</f>
        <v>82040</v>
      </c>
      <c r="E29" s="48"/>
    </row>
    <row r="30" spans="1:5" x14ac:dyDescent="0.3">
      <c r="A30" s="48"/>
      <c r="B30" s="48"/>
      <c r="C30" s="48"/>
      <c r="D30" s="48"/>
      <c r="E30" s="48"/>
    </row>
    <row r="31" spans="1:5" x14ac:dyDescent="0.3">
      <c r="A31" s="48" t="s">
        <v>32</v>
      </c>
      <c r="B31" s="48"/>
      <c r="C31" s="48"/>
      <c r="D31" s="48">
        <v>80685</v>
      </c>
      <c r="E31" s="48"/>
    </row>
    <row r="32" spans="1:5" x14ac:dyDescent="0.3">
      <c r="A32" s="48"/>
      <c r="B32" s="48"/>
      <c r="C32" s="48"/>
      <c r="D32" s="48"/>
      <c r="E32" s="48"/>
    </row>
    <row r="33" spans="1:5" x14ac:dyDescent="0.3">
      <c r="A33" s="32" t="s">
        <v>34</v>
      </c>
      <c r="B33" s="32"/>
      <c r="C33" s="48"/>
      <c r="D33" s="49">
        <f>D29-D31</f>
        <v>1355</v>
      </c>
      <c r="E33" s="49"/>
    </row>
    <row r="34" spans="1:5" x14ac:dyDescent="0.3">
      <c r="A34" s="32"/>
      <c r="B34" s="32"/>
      <c r="C34" s="48"/>
      <c r="D34" s="49"/>
      <c r="E34" s="49"/>
    </row>
  </sheetData>
  <mergeCells count="16">
    <mergeCell ref="A33:B34"/>
    <mergeCell ref="D33:E34"/>
    <mergeCell ref="C25:C34"/>
    <mergeCell ref="A29:B30"/>
    <mergeCell ref="D29:E30"/>
    <mergeCell ref="A25:B26"/>
    <mergeCell ref="A27:B28"/>
    <mergeCell ref="D25:E26"/>
    <mergeCell ref="D27:E28"/>
    <mergeCell ref="A31:B32"/>
    <mergeCell ref="D31:E32"/>
    <mergeCell ref="A1:E1"/>
    <mergeCell ref="A2:E2"/>
    <mergeCell ref="C3:C22"/>
    <mergeCell ref="A23:B24"/>
    <mergeCell ref="D23:E2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7A59-47C5-40DF-B244-102FD3C7A4A3}">
  <dimension ref="A1:E30"/>
  <sheetViews>
    <sheetView topLeftCell="A13" workbookViewId="0">
      <selection activeCell="G24" sqref="G24"/>
    </sheetView>
  </sheetViews>
  <sheetFormatPr defaultRowHeight="14.4" x14ac:dyDescent="0.3"/>
  <cols>
    <col min="1" max="1" width="16" bestFit="1" customWidth="1"/>
    <col min="2" max="2" width="14" bestFit="1" customWidth="1"/>
    <col min="4" max="4" width="16" bestFit="1" customWidth="1"/>
    <col min="5" max="5" width="14" bestFit="1" customWidth="1"/>
  </cols>
  <sheetData>
    <row r="1" spans="1:5" ht="31.2" x14ac:dyDescent="0.3">
      <c r="A1" s="35" t="s">
        <v>0</v>
      </c>
      <c r="B1" s="35"/>
      <c r="C1" s="35"/>
      <c r="D1" s="35"/>
      <c r="E1" s="35"/>
    </row>
    <row r="2" spans="1:5" ht="25.8" x14ac:dyDescent="0.3">
      <c r="A2" s="36" t="s">
        <v>29</v>
      </c>
      <c r="B2" s="36"/>
      <c r="C2" s="36"/>
      <c r="D2" s="36"/>
      <c r="E2" s="36"/>
    </row>
    <row r="3" spans="1:5" ht="25.8" x14ac:dyDescent="0.3">
      <c r="A3" s="30" t="s">
        <v>1</v>
      </c>
      <c r="B3" s="30" t="s">
        <v>2</v>
      </c>
      <c r="C3" s="33"/>
      <c r="D3" s="30" t="s">
        <v>1</v>
      </c>
      <c r="E3" s="30" t="s">
        <v>2</v>
      </c>
    </row>
    <row r="4" spans="1:5" ht="21" x14ac:dyDescent="0.3">
      <c r="A4" s="12">
        <v>66842</v>
      </c>
      <c r="B4" s="14">
        <v>1470</v>
      </c>
      <c r="C4" s="33"/>
      <c r="D4" s="12">
        <v>66857</v>
      </c>
      <c r="E4" s="14">
        <v>1205</v>
      </c>
    </row>
    <row r="5" spans="1:5" ht="21" x14ac:dyDescent="0.3">
      <c r="A5" s="12">
        <v>66843</v>
      </c>
      <c r="B5" s="14">
        <v>740</v>
      </c>
      <c r="C5" s="33"/>
      <c r="D5" s="12">
        <v>66858</v>
      </c>
      <c r="E5" s="14">
        <v>715</v>
      </c>
    </row>
    <row r="6" spans="1:5" ht="21" x14ac:dyDescent="0.3">
      <c r="A6" s="12">
        <v>66844</v>
      </c>
      <c r="B6" s="14">
        <v>1565</v>
      </c>
      <c r="C6" s="33"/>
      <c r="D6" s="12">
        <v>66859</v>
      </c>
      <c r="E6" s="14"/>
    </row>
    <row r="7" spans="1:5" ht="21" x14ac:dyDescent="0.3">
      <c r="A7" s="12">
        <v>66845</v>
      </c>
      <c r="B7" s="14">
        <v>2980</v>
      </c>
      <c r="C7" s="33"/>
      <c r="D7" s="12">
        <v>66860</v>
      </c>
      <c r="E7" s="14">
        <v>465</v>
      </c>
    </row>
    <row r="8" spans="1:5" ht="21" x14ac:dyDescent="0.3">
      <c r="A8" s="12">
        <v>66846</v>
      </c>
      <c r="B8" s="14">
        <v>4910</v>
      </c>
      <c r="C8" s="33"/>
      <c r="D8" s="12">
        <v>66861</v>
      </c>
      <c r="E8" s="14">
        <v>2190</v>
      </c>
    </row>
    <row r="9" spans="1:5" ht="21" x14ac:dyDescent="0.3">
      <c r="A9" s="12">
        <v>66847</v>
      </c>
      <c r="B9" s="14">
        <v>165</v>
      </c>
      <c r="C9" s="33"/>
      <c r="D9" s="12">
        <v>66862</v>
      </c>
      <c r="E9" s="14">
        <v>2465</v>
      </c>
    </row>
    <row r="10" spans="1:5" ht="21" x14ac:dyDescent="0.3">
      <c r="A10" s="12">
        <v>66848</v>
      </c>
      <c r="B10" s="14">
        <v>1120</v>
      </c>
      <c r="C10" s="33"/>
      <c r="D10" s="12">
        <v>66863</v>
      </c>
      <c r="E10" s="14">
        <v>915</v>
      </c>
    </row>
    <row r="11" spans="1:5" ht="21" x14ac:dyDescent="0.3">
      <c r="A11" s="12">
        <v>66849</v>
      </c>
      <c r="B11" s="14">
        <v>2440</v>
      </c>
      <c r="C11" s="33"/>
      <c r="D11" s="12">
        <v>66864</v>
      </c>
      <c r="E11" s="14"/>
    </row>
    <row r="12" spans="1:5" ht="21" x14ac:dyDescent="0.3">
      <c r="A12" s="12">
        <v>66850</v>
      </c>
      <c r="B12" s="14">
        <v>3445</v>
      </c>
      <c r="C12" s="33"/>
      <c r="D12" s="12">
        <v>66865</v>
      </c>
      <c r="E12" s="14">
        <v>230</v>
      </c>
    </row>
    <row r="13" spans="1:5" ht="21" x14ac:dyDescent="0.3">
      <c r="A13" s="12">
        <v>66851</v>
      </c>
      <c r="B13" s="14"/>
      <c r="C13" s="33"/>
      <c r="D13" s="12">
        <v>66866</v>
      </c>
      <c r="E13" s="14">
        <v>2105</v>
      </c>
    </row>
    <row r="14" spans="1:5" ht="21" x14ac:dyDescent="0.3">
      <c r="A14" s="12">
        <v>66852</v>
      </c>
      <c r="B14" s="14">
        <v>1870</v>
      </c>
      <c r="C14" s="33"/>
      <c r="D14" s="12">
        <v>66867</v>
      </c>
      <c r="E14" s="14"/>
    </row>
    <row r="15" spans="1:5" ht="21" x14ac:dyDescent="0.3">
      <c r="A15" s="12">
        <v>66853</v>
      </c>
      <c r="B15" s="14">
        <v>400</v>
      </c>
      <c r="C15" s="33"/>
      <c r="D15" s="12">
        <v>66868</v>
      </c>
      <c r="E15" s="14">
        <v>465</v>
      </c>
    </row>
    <row r="16" spans="1:5" ht="21" x14ac:dyDescent="0.3">
      <c r="A16" s="12">
        <v>66854</v>
      </c>
      <c r="B16" s="14">
        <v>665</v>
      </c>
      <c r="C16" s="33"/>
      <c r="D16" s="12">
        <v>66869</v>
      </c>
      <c r="E16" s="14">
        <v>420</v>
      </c>
    </row>
    <row r="17" spans="1:5" ht="21" x14ac:dyDescent="0.3">
      <c r="A17" s="12">
        <v>66855</v>
      </c>
      <c r="B17" s="14">
        <v>1425</v>
      </c>
      <c r="C17" s="33"/>
      <c r="D17" s="12">
        <v>66870</v>
      </c>
      <c r="E17" s="14">
        <v>1445</v>
      </c>
    </row>
    <row r="18" spans="1:5" ht="21" x14ac:dyDescent="0.3">
      <c r="A18" s="12">
        <v>66856</v>
      </c>
      <c r="B18" s="14">
        <v>250</v>
      </c>
      <c r="C18" s="33"/>
      <c r="D18" s="12">
        <v>66871</v>
      </c>
      <c r="E18" s="14"/>
    </row>
    <row r="19" spans="1:5" ht="21" x14ac:dyDescent="0.3">
      <c r="A19" s="23"/>
      <c r="B19" s="23"/>
      <c r="C19" s="33"/>
      <c r="D19" s="12">
        <v>66872</v>
      </c>
      <c r="E19" s="14">
        <v>120</v>
      </c>
    </row>
    <row r="20" spans="1:5" x14ac:dyDescent="0.3">
      <c r="A20" s="23"/>
      <c r="B20" s="23"/>
      <c r="C20" s="33"/>
      <c r="D20" s="23"/>
      <c r="E20" s="23"/>
    </row>
    <row r="21" spans="1:5" x14ac:dyDescent="0.3">
      <c r="A21" s="23"/>
      <c r="B21" s="23"/>
      <c r="C21" s="33"/>
      <c r="D21" s="23"/>
      <c r="E21" s="23"/>
    </row>
    <row r="22" spans="1:5" x14ac:dyDescent="0.3">
      <c r="A22" s="23"/>
      <c r="B22" s="23"/>
      <c r="C22" s="33"/>
      <c r="D22" s="23"/>
      <c r="E22" s="23"/>
    </row>
    <row r="23" spans="1:5" ht="36.6" x14ac:dyDescent="0.7">
      <c r="A23" s="47" t="s">
        <v>3</v>
      </c>
      <c r="B23" s="47"/>
      <c r="C23" s="29"/>
      <c r="D23" s="47">
        <f>SUM(B4:B18,E4:E19)</f>
        <v>36185</v>
      </c>
      <c r="E23" s="47"/>
    </row>
    <row r="24" spans="1:5" ht="36.6" x14ac:dyDescent="0.7">
      <c r="A24" s="47"/>
      <c r="B24" s="47"/>
      <c r="C24" s="29"/>
      <c r="D24" s="47"/>
      <c r="E24" s="47"/>
    </row>
    <row r="26" spans="1:5" ht="23.4" x14ac:dyDescent="0.45">
      <c r="A26" s="50"/>
      <c r="B26" s="50"/>
      <c r="C26" s="51"/>
      <c r="D26" s="50"/>
      <c r="E26" s="50"/>
    </row>
    <row r="27" spans="1:5" x14ac:dyDescent="0.3">
      <c r="A27" s="52"/>
      <c r="B27" s="52"/>
      <c r="C27" s="4"/>
      <c r="D27" s="52"/>
      <c r="E27" s="52"/>
    </row>
    <row r="28" spans="1:5" x14ac:dyDescent="0.3">
      <c r="A28" s="52"/>
      <c r="B28" s="52"/>
      <c r="C28" s="4"/>
      <c r="D28" s="52"/>
      <c r="E28" s="52"/>
    </row>
    <row r="29" spans="1:5" x14ac:dyDescent="0.3">
      <c r="A29" s="52"/>
      <c r="B29" s="52"/>
      <c r="C29" s="4"/>
      <c r="D29" s="52"/>
      <c r="E29" s="52"/>
    </row>
    <row r="30" spans="1:5" ht="23.4" x14ac:dyDescent="0.45">
      <c r="A30" s="50"/>
      <c r="B30" s="50"/>
      <c r="C30" s="51"/>
      <c r="D30" s="50"/>
      <c r="E30" s="50"/>
    </row>
  </sheetData>
  <mergeCells count="15">
    <mergeCell ref="A1:E1"/>
    <mergeCell ref="A2:E2"/>
    <mergeCell ref="C3:C22"/>
    <mergeCell ref="A23:B24"/>
    <mergeCell ref="D23:E24"/>
    <mergeCell ref="A26:B26"/>
    <mergeCell ref="D26:E26"/>
    <mergeCell ref="A27:B27"/>
    <mergeCell ref="A28:B28"/>
    <mergeCell ref="A29:B29"/>
    <mergeCell ref="A30:B30"/>
    <mergeCell ref="D27:E27"/>
    <mergeCell ref="D28:E28"/>
    <mergeCell ref="D29:E29"/>
    <mergeCell ref="D30:E3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AC97-0217-41EE-AE46-E97CFCA16385}">
  <dimension ref="A1:E24"/>
  <sheetViews>
    <sheetView tabSelected="1" topLeftCell="A7" workbookViewId="0">
      <selection activeCell="F23" sqref="F23"/>
    </sheetView>
  </sheetViews>
  <sheetFormatPr defaultRowHeight="14.4" x14ac:dyDescent="0.3"/>
  <cols>
    <col min="1" max="1" width="14.44140625" bestFit="1" customWidth="1"/>
    <col min="2" max="2" width="14" bestFit="1" customWidth="1"/>
    <col min="4" max="4" width="14.44140625" bestFit="1" customWidth="1"/>
    <col min="5" max="5" width="14" bestFit="1" customWidth="1"/>
  </cols>
  <sheetData>
    <row r="1" spans="1:5" ht="31.2" x14ac:dyDescent="0.3">
      <c r="A1" s="35" t="s">
        <v>0</v>
      </c>
      <c r="B1" s="35"/>
      <c r="C1" s="35"/>
      <c r="D1" s="35"/>
      <c r="E1" s="35"/>
    </row>
    <row r="2" spans="1:5" ht="25.8" x14ac:dyDescent="0.3">
      <c r="A2" s="36" t="s">
        <v>35</v>
      </c>
      <c r="B2" s="36"/>
      <c r="C2" s="36"/>
      <c r="D2" s="36"/>
      <c r="E2" s="36"/>
    </row>
    <row r="3" spans="1:5" ht="25.8" x14ac:dyDescent="0.3">
      <c r="A3" s="31" t="s">
        <v>1</v>
      </c>
      <c r="B3" s="31" t="s">
        <v>2</v>
      </c>
      <c r="C3" s="33"/>
      <c r="D3" s="31" t="s">
        <v>1</v>
      </c>
      <c r="E3" s="31" t="s">
        <v>2</v>
      </c>
    </row>
    <row r="4" spans="1:5" ht="21" x14ac:dyDescent="0.3">
      <c r="A4" s="12">
        <v>66873</v>
      </c>
      <c r="B4" s="14">
        <v>1700</v>
      </c>
      <c r="C4" s="33"/>
      <c r="D4" s="12">
        <v>66888</v>
      </c>
      <c r="E4" s="14">
        <v>585</v>
      </c>
    </row>
    <row r="5" spans="1:5" ht="21" x14ac:dyDescent="0.3">
      <c r="A5" s="12">
        <v>66874</v>
      </c>
      <c r="B5" s="14">
        <v>540</v>
      </c>
      <c r="C5" s="33"/>
      <c r="D5" s="12">
        <v>66889</v>
      </c>
      <c r="E5" s="14"/>
    </row>
    <row r="6" spans="1:5" ht="21" x14ac:dyDescent="0.3">
      <c r="A6" s="12">
        <v>66875</v>
      </c>
      <c r="B6" s="14"/>
      <c r="C6" s="33"/>
      <c r="D6" s="12">
        <v>66890</v>
      </c>
      <c r="E6" s="14"/>
    </row>
    <row r="7" spans="1:5" ht="21" x14ac:dyDescent="0.3">
      <c r="A7" s="12">
        <v>66876</v>
      </c>
      <c r="B7" s="14">
        <v>1485</v>
      </c>
      <c r="C7" s="33"/>
      <c r="D7" s="12">
        <v>66891</v>
      </c>
      <c r="E7" s="14"/>
    </row>
    <row r="8" spans="1:5" ht="21" x14ac:dyDescent="0.3">
      <c r="A8" s="12">
        <v>66877</v>
      </c>
      <c r="B8" s="14">
        <v>360</v>
      </c>
      <c r="C8" s="33"/>
      <c r="D8" s="12">
        <v>66892</v>
      </c>
      <c r="E8" s="14"/>
    </row>
    <row r="9" spans="1:5" ht="21" x14ac:dyDescent="0.3">
      <c r="A9" s="12">
        <v>66878</v>
      </c>
      <c r="B9" s="14">
        <v>1410</v>
      </c>
      <c r="C9" s="33"/>
      <c r="D9" s="12">
        <v>66893</v>
      </c>
      <c r="E9" s="14"/>
    </row>
    <row r="10" spans="1:5" ht="21" x14ac:dyDescent="0.3">
      <c r="A10" s="12">
        <v>66879</v>
      </c>
      <c r="B10" s="14">
        <v>785</v>
      </c>
      <c r="C10" s="33"/>
      <c r="D10" s="12">
        <v>66894</v>
      </c>
      <c r="E10" s="14"/>
    </row>
    <row r="11" spans="1:5" ht="21" x14ac:dyDescent="0.3">
      <c r="A11" s="12">
        <v>66880</v>
      </c>
      <c r="B11" s="14">
        <v>1585</v>
      </c>
      <c r="C11" s="33"/>
      <c r="D11" s="12">
        <v>66895</v>
      </c>
      <c r="E11" s="14"/>
    </row>
    <row r="12" spans="1:5" ht="21" x14ac:dyDescent="0.3">
      <c r="A12" s="12">
        <v>66881</v>
      </c>
      <c r="B12" s="14">
        <v>640</v>
      </c>
      <c r="C12" s="33"/>
      <c r="D12" s="12">
        <v>66896</v>
      </c>
      <c r="E12" s="14"/>
    </row>
    <row r="13" spans="1:5" ht="21" x14ac:dyDescent="0.3">
      <c r="A13" s="12">
        <v>66882</v>
      </c>
      <c r="B13" s="14">
        <v>700</v>
      </c>
      <c r="C13" s="33"/>
      <c r="D13" s="12">
        <v>66897</v>
      </c>
      <c r="E13" s="14"/>
    </row>
    <row r="14" spans="1:5" ht="21" x14ac:dyDescent="0.3">
      <c r="A14" s="12">
        <v>66883</v>
      </c>
      <c r="B14" s="14">
        <v>870</v>
      </c>
      <c r="C14" s="33"/>
      <c r="D14" s="12">
        <v>66898</v>
      </c>
      <c r="E14" s="14"/>
    </row>
    <row r="15" spans="1:5" ht="21" x14ac:dyDescent="0.3">
      <c r="A15" s="12">
        <v>66884</v>
      </c>
      <c r="B15" s="14"/>
      <c r="C15" s="33"/>
      <c r="D15" s="12">
        <v>66899</v>
      </c>
      <c r="E15" s="14"/>
    </row>
    <row r="16" spans="1:5" ht="21" x14ac:dyDescent="0.3">
      <c r="A16" s="12">
        <v>66885</v>
      </c>
      <c r="B16" s="14">
        <v>1170</v>
      </c>
      <c r="C16" s="33"/>
      <c r="D16" s="12">
        <v>66900</v>
      </c>
      <c r="E16" s="14"/>
    </row>
    <row r="17" spans="1:5" ht="21" x14ac:dyDescent="0.3">
      <c r="A17" s="12">
        <v>66886</v>
      </c>
      <c r="B17" s="14">
        <v>730</v>
      </c>
      <c r="C17" s="33"/>
      <c r="D17" s="12">
        <v>66901</v>
      </c>
      <c r="E17" s="14"/>
    </row>
    <row r="18" spans="1:5" ht="21" x14ac:dyDescent="0.3">
      <c r="A18" s="12">
        <v>66887</v>
      </c>
      <c r="B18" s="14"/>
      <c r="C18" s="33"/>
      <c r="D18" s="12">
        <v>66902</v>
      </c>
      <c r="E18" s="14"/>
    </row>
    <row r="19" spans="1:5" ht="21" x14ac:dyDescent="0.3">
      <c r="A19" s="23"/>
      <c r="B19" s="23"/>
      <c r="C19" s="33"/>
      <c r="D19" s="12">
        <v>66903</v>
      </c>
      <c r="E19" s="14"/>
    </row>
    <row r="20" spans="1:5" x14ac:dyDescent="0.3">
      <c r="A20" s="23"/>
      <c r="B20" s="23"/>
      <c r="C20" s="33"/>
      <c r="D20" s="23"/>
      <c r="E20" s="23"/>
    </row>
    <row r="21" spans="1:5" x14ac:dyDescent="0.3">
      <c r="A21" s="23"/>
      <c r="B21" s="23"/>
      <c r="C21" s="33"/>
      <c r="D21" s="23"/>
      <c r="E21" s="23"/>
    </row>
    <row r="22" spans="1:5" x14ac:dyDescent="0.3">
      <c r="A22" s="23"/>
      <c r="B22" s="23"/>
      <c r="C22" s="33"/>
      <c r="D22" s="23"/>
      <c r="E22" s="23"/>
    </row>
    <row r="23" spans="1:5" ht="36.6" x14ac:dyDescent="0.7">
      <c r="A23" s="47" t="s">
        <v>3</v>
      </c>
      <c r="B23" s="47"/>
      <c r="C23" s="29"/>
      <c r="D23" s="47">
        <f>SUM(B4:B18,E4:E19)</f>
        <v>12560</v>
      </c>
      <c r="E23" s="47"/>
    </row>
    <row r="24" spans="1:5" ht="36.6" x14ac:dyDescent="0.7">
      <c r="A24" s="47"/>
      <c r="B24" s="47"/>
      <c r="C24" s="29"/>
      <c r="D24" s="47"/>
      <c r="E24" s="47"/>
    </row>
  </sheetData>
  <mergeCells count="5">
    <mergeCell ref="A1:E1"/>
    <mergeCell ref="A2:E2"/>
    <mergeCell ref="C3:C22"/>
    <mergeCell ref="A23:B24"/>
    <mergeCell ref="D23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Sheet2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2026-05-30T16:40:16Z</dcterms:modified>
</cp:coreProperties>
</file>