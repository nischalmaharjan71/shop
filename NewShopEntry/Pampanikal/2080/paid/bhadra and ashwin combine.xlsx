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C39634C4-0EDA-4305-8E2C-555B972E4FFC}" xr6:coauthVersionLast="36" xr6:coauthVersionMax="36" xr10:uidLastSave="{00000000-0000-0000-0000-000000000000}"/>
  <bookViews>
    <workbookView xWindow="0" yWindow="0" windowWidth="16392" windowHeight="6036" xr2:uid="{02690549-01E7-445A-950E-1829E1117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1" l="1"/>
  <c r="G29" i="1" l="1"/>
  <c r="G27" i="1" l="1"/>
  <c r="I22" i="1" l="1"/>
  <c r="C22" i="1" l="1"/>
  <c r="G24" i="1" s="1"/>
</calcChain>
</file>

<file path=xl/sharedStrings.xml><?xml version="1.0" encoding="utf-8"?>
<sst xmlns="http://schemas.openxmlformats.org/spreadsheetml/2006/main" count="81" uniqueCount="51">
  <si>
    <t>Pampanikal</t>
  </si>
  <si>
    <t>Bhadra,2080</t>
  </si>
  <si>
    <t>Date</t>
  </si>
  <si>
    <t>Amount</t>
  </si>
  <si>
    <t xml:space="preserve"> 5/1</t>
  </si>
  <si>
    <t xml:space="preserve"> 5/15</t>
  </si>
  <si>
    <t xml:space="preserve"> 5/3</t>
  </si>
  <si>
    <t xml:space="preserve"> 5/16</t>
  </si>
  <si>
    <t xml:space="preserve"> 5/20</t>
  </si>
  <si>
    <t xml:space="preserve"> 5/4</t>
  </si>
  <si>
    <t xml:space="preserve"> 5/21</t>
  </si>
  <si>
    <t xml:space="preserve"> 5/8</t>
  </si>
  <si>
    <t xml:space="preserve"> 5/23</t>
  </si>
  <si>
    <t xml:space="preserve"> 5/24</t>
  </si>
  <si>
    <t xml:space="preserve"> 5/9</t>
  </si>
  <si>
    <t xml:space="preserve"> 5/25</t>
  </si>
  <si>
    <t xml:space="preserve"> 5/26</t>
  </si>
  <si>
    <t xml:space="preserve"> 5/10</t>
  </si>
  <si>
    <t xml:space="preserve"> 5/28</t>
  </si>
  <si>
    <t xml:space="preserve"> 5/13</t>
  </si>
  <si>
    <t xml:space="preserve"> 5/30</t>
  </si>
  <si>
    <t>Total</t>
  </si>
  <si>
    <t>Ashwin2080</t>
  </si>
  <si>
    <t xml:space="preserve"> 6/1</t>
  </si>
  <si>
    <t xml:space="preserve"> 6/14</t>
  </si>
  <si>
    <t xml:space="preserve"> 6/2</t>
  </si>
  <si>
    <t xml:space="preserve"> 6/16</t>
  </si>
  <si>
    <t xml:space="preserve"> 6/3</t>
  </si>
  <si>
    <t xml:space="preserve"> 6/17</t>
  </si>
  <si>
    <t xml:space="preserve"> 6/19</t>
  </si>
  <si>
    <t xml:space="preserve"> 6/5</t>
  </si>
  <si>
    <t xml:space="preserve"> 6/20</t>
  </si>
  <si>
    <t xml:space="preserve"> 6/6</t>
  </si>
  <si>
    <t xml:space="preserve"> 6/22</t>
  </si>
  <si>
    <t xml:space="preserve"> 6/23</t>
  </si>
  <si>
    <t xml:space="preserve"> 6/7</t>
  </si>
  <si>
    <t xml:space="preserve"> 6/24</t>
  </si>
  <si>
    <t xml:space="preserve"> 6/25</t>
  </si>
  <si>
    <t xml:space="preserve"> 6/26</t>
  </si>
  <si>
    <t xml:space="preserve"> 6/8</t>
  </si>
  <si>
    <t xml:space="preserve"> 6/28</t>
  </si>
  <si>
    <t xml:space="preserve"> 6/9</t>
  </si>
  <si>
    <t xml:space="preserve"> 6/29</t>
  </si>
  <si>
    <t xml:space="preserve"> 6/12</t>
  </si>
  <si>
    <t xml:space="preserve"> 6/30</t>
  </si>
  <si>
    <t xml:space="preserve"> 6/13</t>
  </si>
  <si>
    <t>Total of Both Month</t>
  </si>
  <si>
    <t>Paid Amount</t>
  </si>
  <si>
    <t>Remaing Amount</t>
  </si>
  <si>
    <t xml:space="preserve">  2080/9/16</t>
  </si>
  <si>
    <t>ALL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</si>
</sst>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6" fontId="2" fillId="0" borderId="1" xfId="0" applyNumberFormat="1" applyFont="1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1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/>
    <xf numFmtId="16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04DA-D4A7-4E38-ACA5-080D2247CA9E}">
  <dimension ref="A1:K35"/>
  <sheetViews>
    <sheetView tabSelected="1" topLeftCell="A27" workbookViewId="0">
      <selection activeCell="M28" sqref="M28"/>
    </sheetView>
  </sheetViews>
  <sheetFormatPr defaultRowHeight="14.4" x14ac:dyDescent="0.3"/>
  <cols>
    <col min="1" max="1" width="11.21875" customWidth="1"/>
    <col min="2" max="2" width="16.44140625" customWidth="1"/>
    <col min="3" max="3" width="4.77734375" customWidth="1"/>
    <col min="4" max="4" width="11.109375" customWidth="1"/>
    <col min="5" max="5" width="14.21875" customWidth="1"/>
    <col min="6" max="6" width="4.5546875" customWidth="1"/>
    <col min="7" max="7" width="11.77734375" customWidth="1"/>
    <col min="8" max="8" width="13.77734375" customWidth="1"/>
    <col min="9" max="9" width="2.6640625" customWidth="1"/>
    <col min="10" max="10" width="11.77734375" customWidth="1"/>
    <col min="11" max="11" width="12.44140625" customWidth="1"/>
  </cols>
  <sheetData>
    <row r="1" spans="1:11" ht="31.2" x14ac:dyDescent="0.6">
      <c r="A1" s="13" t="s">
        <v>0</v>
      </c>
      <c r="B1" s="13"/>
      <c r="C1" s="13"/>
      <c r="D1" s="13"/>
      <c r="E1" s="13"/>
      <c r="F1" s="9"/>
      <c r="G1" s="11" t="s">
        <v>0</v>
      </c>
      <c r="H1" s="11"/>
      <c r="I1" s="11"/>
      <c r="J1" s="11"/>
      <c r="K1" s="11"/>
    </row>
    <row r="2" spans="1:11" ht="31.2" x14ac:dyDescent="0.6">
      <c r="A2" s="13" t="s">
        <v>1</v>
      </c>
      <c r="B2" s="13"/>
      <c r="C2" s="13"/>
      <c r="D2" s="13"/>
      <c r="E2" s="13"/>
      <c r="F2" s="26"/>
      <c r="G2" s="11" t="s">
        <v>22</v>
      </c>
      <c r="H2" s="11"/>
      <c r="I2" s="11"/>
      <c r="J2" s="11"/>
      <c r="K2" s="11"/>
    </row>
    <row r="3" spans="1:11" ht="23.4" x14ac:dyDescent="0.45">
      <c r="A3" s="3" t="s">
        <v>2</v>
      </c>
      <c r="B3" s="3" t="s">
        <v>3</v>
      </c>
      <c r="C3" s="2"/>
      <c r="D3" s="3" t="s">
        <v>2</v>
      </c>
      <c r="E3" s="3" t="s">
        <v>3</v>
      </c>
      <c r="F3" s="26"/>
      <c r="G3" s="4" t="s">
        <v>2</v>
      </c>
      <c r="H3" s="4" t="s">
        <v>3</v>
      </c>
      <c r="I3" s="2"/>
      <c r="J3" s="4" t="s">
        <v>2</v>
      </c>
      <c r="K3" s="4" t="s">
        <v>3</v>
      </c>
    </row>
    <row r="4" spans="1:11" ht="23.4" x14ac:dyDescent="0.45">
      <c r="A4" s="1" t="s">
        <v>4</v>
      </c>
      <c r="B4" s="2">
        <v>1075</v>
      </c>
      <c r="C4" s="2"/>
      <c r="D4" s="2" t="s">
        <v>5</v>
      </c>
      <c r="E4" s="2">
        <v>340</v>
      </c>
      <c r="F4" s="26"/>
      <c r="G4" s="2" t="s">
        <v>23</v>
      </c>
      <c r="H4" s="2">
        <v>2200</v>
      </c>
      <c r="I4" s="2"/>
      <c r="J4" s="2" t="s">
        <v>24</v>
      </c>
      <c r="K4" s="2">
        <v>4130</v>
      </c>
    </row>
    <row r="5" spans="1:11" ht="23.4" x14ac:dyDescent="0.45">
      <c r="A5" s="2" t="s">
        <v>6</v>
      </c>
      <c r="B5" s="2">
        <v>400</v>
      </c>
      <c r="C5" s="2"/>
      <c r="D5" s="2" t="s">
        <v>7</v>
      </c>
      <c r="E5" s="2">
        <v>240</v>
      </c>
      <c r="F5" s="26"/>
      <c r="G5" s="2" t="s">
        <v>25</v>
      </c>
      <c r="H5" s="2">
        <v>1175</v>
      </c>
      <c r="I5" s="2"/>
      <c r="J5" s="2" t="s">
        <v>26</v>
      </c>
      <c r="K5" s="2">
        <v>2730</v>
      </c>
    </row>
    <row r="6" spans="1:11" ht="23.4" x14ac:dyDescent="0.45">
      <c r="A6" s="2" t="s">
        <v>6</v>
      </c>
      <c r="B6" s="2">
        <v>500</v>
      </c>
      <c r="C6" s="2"/>
      <c r="D6" s="2" t="s">
        <v>8</v>
      </c>
      <c r="E6" s="2">
        <v>640</v>
      </c>
      <c r="F6" s="26"/>
      <c r="G6" s="2" t="s">
        <v>27</v>
      </c>
      <c r="H6" s="2">
        <v>2480</v>
      </c>
      <c r="I6" s="2"/>
      <c r="J6" s="2" t="s">
        <v>28</v>
      </c>
      <c r="K6" s="2">
        <v>790</v>
      </c>
    </row>
    <row r="7" spans="1:11" ht="23.4" x14ac:dyDescent="0.45">
      <c r="A7" s="2" t="s">
        <v>9</v>
      </c>
      <c r="B7" s="2">
        <v>2040</v>
      </c>
      <c r="C7" s="2"/>
      <c r="D7" s="2" t="s">
        <v>10</v>
      </c>
      <c r="E7" s="2">
        <v>1010</v>
      </c>
      <c r="F7" s="26"/>
      <c r="G7" s="2" t="s">
        <v>27</v>
      </c>
      <c r="H7" s="2">
        <v>770</v>
      </c>
      <c r="I7" s="2"/>
      <c r="J7" s="2" t="s">
        <v>29</v>
      </c>
      <c r="K7" s="5">
        <v>1630</v>
      </c>
    </row>
    <row r="8" spans="1:11" ht="23.4" x14ac:dyDescent="0.45">
      <c r="A8" s="2" t="s">
        <v>11</v>
      </c>
      <c r="B8" s="2">
        <v>2825</v>
      </c>
      <c r="C8" s="2"/>
      <c r="D8" s="2" t="s">
        <v>12</v>
      </c>
      <c r="E8" s="2">
        <v>1985</v>
      </c>
      <c r="F8" s="26"/>
      <c r="G8" s="2" t="s">
        <v>30</v>
      </c>
      <c r="H8" s="2">
        <v>945</v>
      </c>
      <c r="I8" s="2"/>
      <c r="J8" s="2" t="s">
        <v>31</v>
      </c>
      <c r="K8" s="5">
        <v>2410</v>
      </c>
    </row>
    <row r="9" spans="1:11" ht="23.4" x14ac:dyDescent="0.45">
      <c r="A9" s="2" t="s">
        <v>11</v>
      </c>
      <c r="B9" s="2">
        <v>450</v>
      </c>
      <c r="C9" s="2"/>
      <c r="D9" s="2" t="s">
        <v>13</v>
      </c>
      <c r="E9" s="2">
        <v>4835</v>
      </c>
      <c r="F9" s="26"/>
      <c r="G9" s="2" t="s">
        <v>32</v>
      </c>
      <c r="H9" s="2">
        <v>740</v>
      </c>
      <c r="I9" s="2"/>
      <c r="J9" s="2" t="s">
        <v>31</v>
      </c>
      <c r="K9" s="5">
        <v>1000</v>
      </c>
    </row>
    <row r="10" spans="1:11" ht="23.4" x14ac:dyDescent="0.45">
      <c r="A10" s="2" t="s">
        <v>14</v>
      </c>
      <c r="B10" s="2">
        <v>390</v>
      </c>
      <c r="C10" s="2"/>
      <c r="D10" s="2" t="s">
        <v>15</v>
      </c>
      <c r="E10" s="2">
        <v>1335</v>
      </c>
      <c r="F10" s="26"/>
      <c r="G10" s="2" t="s">
        <v>32</v>
      </c>
      <c r="H10" s="2">
        <v>1860</v>
      </c>
      <c r="I10" s="2"/>
      <c r="J10" s="2" t="s">
        <v>33</v>
      </c>
      <c r="K10" s="2">
        <v>275</v>
      </c>
    </row>
    <row r="11" spans="1:11" ht="23.4" x14ac:dyDescent="0.45">
      <c r="A11" s="2" t="s">
        <v>14</v>
      </c>
      <c r="B11" s="2">
        <v>800</v>
      </c>
      <c r="C11" s="2"/>
      <c r="D11" s="2" t="s">
        <v>16</v>
      </c>
      <c r="E11" s="2">
        <v>465</v>
      </c>
      <c r="F11" s="26"/>
      <c r="G11" s="2" t="s">
        <v>32</v>
      </c>
      <c r="H11" s="2">
        <v>550</v>
      </c>
      <c r="I11" s="2"/>
      <c r="J11" s="2" t="s">
        <v>34</v>
      </c>
      <c r="K11" s="5">
        <v>2030</v>
      </c>
    </row>
    <row r="12" spans="1:11" ht="23.4" x14ac:dyDescent="0.45">
      <c r="A12" s="2" t="s">
        <v>17</v>
      </c>
      <c r="B12" s="2">
        <v>1695</v>
      </c>
      <c r="C12" s="2"/>
      <c r="D12" s="2" t="s">
        <v>16</v>
      </c>
      <c r="E12" s="2">
        <v>1760</v>
      </c>
      <c r="F12" s="26"/>
      <c r="G12" s="2" t="s">
        <v>35</v>
      </c>
      <c r="H12" s="2">
        <v>745</v>
      </c>
      <c r="I12" s="2"/>
      <c r="J12" s="2" t="s">
        <v>36</v>
      </c>
      <c r="K12" s="5">
        <v>1560</v>
      </c>
    </row>
    <row r="13" spans="1:11" ht="23.4" x14ac:dyDescent="0.45">
      <c r="A13" s="2" t="s">
        <v>17</v>
      </c>
      <c r="B13" s="2">
        <v>1210</v>
      </c>
      <c r="C13" s="2"/>
      <c r="D13" s="2" t="s">
        <v>18</v>
      </c>
      <c r="E13" s="2">
        <v>2835</v>
      </c>
      <c r="F13" s="26"/>
      <c r="G13" s="2" t="s">
        <v>35</v>
      </c>
      <c r="H13" s="2">
        <v>340</v>
      </c>
      <c r="I13" s="2"/>
      <c r="J13" s="2" t="s">
        <v>37</v>
      </c>
      <c r="K13" s="5">
        <v>790</v>
      </c>
    </row>
    <row r="14" spans="1:11" ht="23.4" x14ac:dyDescent="0.45">
      <c r="A14" s="2" t="s">
        <v>19</v>
      </c>
      <c r="B14" s="2">
        <v>1460</v>
      </c>
      <c r="C14" s="2"/>
      <c r="D14" s="1" t="s">
        <v>20</v>
      </c>
      <c r="E14" s="2">
        <v>1920</v>
      </c>
      <c r="F14" s="26"/>
      <c r="G14" s="2" t="s">
        <v>35</v>
      </c>
      <c r="H14" s="2">
        <v>1625</v>
      </c>
      <c r="I14" s="2"/>
      <c r="J14" s="2" t="s">
        <v>38</v>
      </c>
      <c r="K14" s="5">
        <v>1735</v>
      </c>
    </row>
    <row r="15" spans="1:11" ht="23.4" x14ac:dyDescent="0.45">
      <c r="A15" s="2" t="s">
        <v>19</v>
      </c>
      <c r="B15" s="2">
        <v>1130</v>
      </c>
      <c r="C15" s="2"/>
      <c r="D15" s="1" t="s">
        <v>20</v>
      </c>
      <c r="E15" s="2">
        <v>755</v>
      </c>
      <c r="F15" s="26"/>
      <c r="G15" s="2" t="s">
        <v>39</v>
      </c>
      <c r="H15" s="2">
        <v>3875</v>
      </c>
      <c r="I15" s="2"/>
      <c r="J15" s="2" t="s">
        <v>40</v>
      </c>
      <c r="K15" s="5">
        <v>1100</v>
      </c>
    </row>
    <row r="16" spans="1:11" ht="23.4" x14ac:dyDescent="0.45">
      <c r="A16" s="17"/>
      <c r="B16" s="18"/>
      <c r="C16" s="18"/>
      <c r="D16" s="18"/>
      <c r="E16" s="19"/>
      <c r="F16" s="26"/>
      <c r="G16" s="2" t="s">
        <v>41</v>
      </c>
      <c r="H16" s="2">
        <v>1420</v>
      </c>
      <c r="I16" s="2"/>
      <c r="J16" s="2" t="s">
        <v>40</v>
      </c>
      <c r="K16" s="5">
        <v>420</v>
      </c>
    </row>
    <row r="17" spans="1:11" ht="23.4" x14ac:dyDescent="0.45">
      <c r="A17" s="20"/>
      <c r="B17" s="21"/>
      <c r="C17" s="21"/>
      <c r="D17" s="21"/>
      <c r="E17" s="22"/>
      <c r="F17" s="26"/>
      <c r="G17" s="2" t="s">
        <v>41</v>
      </c>
      <c r="H17" s="2">
        <v>865</v>
      </c>
      <c r="I17" s="2"/>
      <c r="J17" s="2" t="s">
        <v>42</v>
      </c>
      <c r="K17" s="5">
        <v>750</v>
      </c>
    </row>
    <row r="18" spans="1:11" ht="23.4" x14ac:dyDescent="0.45">
      <c r="A18" s="20"/>
      <c r="B18" s="21"/>
      <c r="C18" s="21"/>
      <c r="D18" s="21"/>
      <c r="E18" s="22"/>
      <c r="F18" s="26"/>
      <c r="G18" s="2" t="s">
        <v>43</v>
      </c>
      <c r="H18" s="2">
        <v>2940</v>
      </c>
      <c r="I18" s="2"/>
      <c r="J18" s="2" t="s">
        <v>44</v>
      </c>
      <c r="K18" s="5">
        <v>2920</v>
      </c>
    </row>
    <row r="19" spans="1:11" ht="23.4" x14ac:dyDescent="0.45">
      <c r="A19" s="20"/>
      <c r="B19" s="21"/>
      <c r="C19" s="21"/>
      <c r="D19" s="21"/>
      <c r="E19" s="22"/>
      <c r="F19" s="26"/>
      <c r="G19" s="2" t="s">
        <v>43</v>
      </c>
      <c r="H19" s="2">
        <v>790</v>
      </c>
      <c r="I19" s="2"/>
      <c r="J19" s="2" t="s">
        <v>44</v>
      </c>
      <c r="K19" s="5">
        <v>545</v>
      </c>
    </row>
    <row r="20" spans="1:11" ht="23.4" x14ac:dyDescent="0.45">
      <c r="A20" s="23"/>
      <c r="B20" s="24"/>
      <c r="C20" s="24"/>
      <c r="D20" s="24"/>
      <c r="E20" s="25"/>
      <c r="F20" s="10"/>
      <c r="G20" s="2" t="s">
        <v>45</v>
      </c>
      <c r="H20" s="2">
        <v>955</v>
      </c>
      <c r="I20" s="2"/>
      <c r="J20" s="2" t="s">
        <v>44</v>
      </c>
      <c r="K20" s="5">
        <v>2000</v>
      </c>
    </row>
    <row r="21" spans="1:11" x14ac:dyDescent="0.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6"/>
    </row>
    <row r="22" spans="1:11" ht="36.6" x14ac:dyDescent="0.7">
      <c r="A22" s="12" t="s">
        <v>21</v>
      </c>
      <c r="B22" s="12"/>
      <c r="C22" s="12">
        <f>SUM(B4:B15,E4:E15)</f>
        <v>32095</v>
      </c>
      <c r="D22" s="12"/>
      <c r="E22" s="12"/>
      <c r="F22" s="6"/>
      <c r="G22" s="12" t="s">
        <v>21</v>
      </c>
      <c r="H22" s="12"/>
      <c r="I22" s="12">
        <f>SUM(H4:H20,K4:K20)</f>
        <v>51090</v>
      </c>
      <c r="J22" s="12"/>
      <c r="K22" s="12"/>
    </row>
    <row r="23" spans="1:11" ht="14.4" customHeight="1" x14ac:dyDescent="0.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6"/>
    </row>
    <row r="24" spans="1:11" ht="46.2" x14ac:dyDescent="0.85">
      <c r="A24" s="7" t="s">
        <v>46</v>
      </c>
      <c r="B24" s="7"/>
      <c r="C24" s="7"/>
      <c r="D24" s="7"/>
      <c r="E24" s="7"/>
      <c r="F24" s="6"/>
      <c r="G24" s="7">
        <f>SUM(C22+I22)</f>
        <v>83185</v>
      </c>
      <c r="H24" s="7"/>
      <c r="I24" s="7"/>
      <c r="J24" s="7"/>
      <c r="K24" s="7"/>
    </row>
    <row r="25" spans="1:1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t="33.6" x14ac:dyDescent="0.65">
      <c r="A26" s="27" t="s">
        <v>47</v>
      </c>
      <c r="B26" s="27"/>
      <c r="C26" s="27"/>
      <c r="D26" s="27"/>
      <c r="E26" s="27"/>
      <c r="F26" s="28"/>
      <c r="G26" s="29">
        <v>40000</v>
      </c>
      <c r="H26" s="29"/>
      <c r="I26" s="29"/>
      <c r="J26" s="29"/>
      <c r="K26" s="29"/>
    </row>
    <row r="27" spans="1:11" ht="33.6" x14ac:dyDescent="0.65">
      <c r="A27" s="27" t="s">
        <v>48</v>
      </c>
      <c r="B27" s="27"/>
      <c r="C27" s="27"/>
      <c r="D27" s="27"/>
      <c r="E27" s="27"/>
      <c r="F27" s="30"/>
      <c r="G27" s="29">
        <f>G24-G26</f>
        <v>43185</v>
      </c>
      <c r="H27" s="29"/>
      <c r="I27" s="29"/>
      <c r="J27" s="29"/>
      <c r="K27" s="29"/>
    </row>
    <row r="28" spans="1:11" ht="33.6" x14ac:dyDescent="0.65">
      <c r="A28" s="27" t="s">
        <v>47</v>
      </c>
      <c r="B28" s="27"/>
      <c r="C28" s="27"/>
      <c r="D28" s="27"/>
      <c r="E28" s="27"/>
      <c r="F28" s="31"/>
      <c r="G28" s="29">
        <v>20000</v>
      </c>
      <c r="H28" s="29"/>
      <c r="I28" s="29"/>
      <c r="J28" s="29"/>
      <c r="K28" s="29"/>
    </row>
    <row r="29" spans="1:11" ht="33.6" x14ac:dyDescent="0.65">
      <c r="A29" s="27" t="s">
        <v>48</v>
      </c>
      <c r="B29" s="27"/>
      <c r="C29" s="27"/>
      <c r="D29" s="27"/>
      <c r="E29" s="27"/>
      <c r="F29" s="31"/>
      <c r="G29" s="29">
        <f>G27-G28</f>
        <v>23185</v>
      </c>
      <c r="H29" s="29"/>
      <c r="I29" s="29"/>
      <c r="J29" s="29"/>
      <c r="K29" s="29"/>
    </row>
    <row r="30" spans="1:11" ht="33.6" x14ac:dyDescent="0.65">
      <c r="A30" s="27" t="s">
        <v>47</v>
      </c>
      <c r="B30" s="27"/>
      <c r="C30" s="27"/>
      <c r="D30" s="27"/>
      <c r="E30" s="27"/>
      <c r="F30" s="31"/>
      <c r="G30" s="29">
        <v>20000</v>
      </c>
      <c r="H30" s="29"/>
      <c r="I30" s="29"/>
      <c r="J30" s="29"/>
      <c r="K30" s="29"/>
    </row>
    <row r="31" spans="1:11" ht="33.6" x14ac:dyDescent="0.65">
      <c r="A31" s="27" t="s">
        <v>48</v>
      </c>
      <c r="B31" s="27"/>
      <c r="C31" s="27"/>
      <c r="D31" s="27"/>
      <c r="E31" s="27"/>
      <c r="F31" s="31"/>
      <c r="G31" s="27">
        <f>G29-G30</f>
        <v>3185</v>
      </c>
      <c r="H31" s="27"/>
      <c r="I31" s="27"/>
      <c r="J31" s="27"/>
      <c r="K31" s="27"/>
    </row>
    <row r="32" spans="1:11" ht="33.6" x14ac:dyDescent="0.65">
      <c r="A32" s="32" t="s">
        <v>49</v>
      </c>
      <c r="B32" s="27"/>
      <c r="C32" s="27"/>
      <c r="D32" s="27"/>
      <c r="E32" s="27"/>
      <c r="F32" s="31"/>
      <c r="G32" s="27">
        <v>3185</v>
      </c>
      <c r="H32" s="27"/>
      <c r="I32" s="27"/>
      <c r="J32" s="27"/>
      <c r="K32" s="27"/>
    </row>
    <row r="33" spans="1:11" x14ac:dyDescent="0.3">
      <c r="A33" s="33" t="s">
        <v>50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 spans="1:11" x14ac:dyDescent="0.3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 spans="1:11" x14ac:dyDescent="0.3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</row>
  </sheetData>
  <mergeCells count="31">
    <mergeCell ref="A32:E32"/>
    <mergeCell ref="G32:K32"/>
    <mergeCell ref="A33:K35"/>
    <mergeCell ref="G1:K1"/>
    <mergeCell ref="G2:K2"/>
    <mergeCell ref="G22:H22"/>
    <mergeCell ref="I22:K22"/>
    <mergeCell ref="A1:E1"/>
    <mergeCell ref="A2:E2"/>
    <mergeCell ref="A22:B22"/>
    <mergeCell ref="C22:E22"/>
    <mergeCell ref="A21:K21"/>
    <mergeCell ref="A16:E20"/>
    <mergeCell ref="F1:F20"/>
    <mergeCell ref="A23:K23"/>
    <mergeCell ref="G26:K26"/>
    <mergeCell ref="A24:E24"/>
    <mergeCell ref="A30:E30"/>
    <mergeCell ref="G30:K30"/>
    <mergeCell ref="A31:E31"/>
    <mergeCell ref="G31:K31"/>
    <mergeCell ref="G24:K24"/>
    <mergeCell ref="A29:E29"/>
    <mergeCell ref="G29:K29"/>
    <mergeCell ref="A28:E28"/>
    <mergeCell ref="G28:K28"/>
    <mergeCell ref="A26:E26"/>
    <mergeCell ref="A27:E27"/>
    <mergeCell ref="A25:K25"/>
    <mergeCell ref="G27:K27"/>
    <mergeCell ref="F26:F27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2024-01-02T00:43:37Z</cp:lastPrinted>
  <dcterms:created xsi:type="dcterms:W3CDTF">2023-11-18T09:34:49Z</dcterms:created>
  <dcterms:modified xsi:type="dcterms:W3CDTF">2024-01-02T00:43:48Z</dcterms:modified>
</cp:coreProperties>
</file>