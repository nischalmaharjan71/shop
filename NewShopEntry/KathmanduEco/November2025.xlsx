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79D38959-619B-4C10-A6D1-A015A2665429}" xr6:coauthVersionLast="36" xr6:coauthVersionMax="36" xr10:uidLastSave="{00000000-0000-0000-0000-000000000000}"/>
  <bookViews>
    <workbookView xWindow="0" yWindow="0" windowWidth="23040" windowHeight="9060" activeTab="6" xr2:uid="{5EE9DDE5-D370-4348-885B-2BDDD3CA4F7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7" l="1"/>
  <c r="E24" i="7"/>
  <c r="E26" i="5" l="1"/>
  <c r="E24" i="5"/>
  <c r="E26" i="6"/>
  <c r="E24" i="6"/>
  <c r="E24" i="4" l="1"/>
  <c r="E26" i="4"/>
  <c r="E24" i="3" l="1"/>
  <c r="E26" i="3"/>
  <c r="E30" i="2" l="1"/>
  <c r="E29" i="1"/>
  <c r="E26" i="2" l="1"/>
  <c r="E24" i="2"/>
  <c r="E24" i="1"/>
  <c r="E26" i="1" l="1"/>
</calcChain>
</file>

<file path=xl/sharedStrings.xml><?xml version="1.0" encoding="utf-8"?>
<sst xmlns="http://schemas.openxmlformats.org/spreadsheetml/2006/main" count="290" uniqueCount="231">
  <si>
    <t>KATHMANDU ECO</t>
  </si>
  <si>
    <t>DATE</t>
  </si>
  <si>
    <t>Actual amount</t>
  </si>
  <si>
    <t>Deducted amount</t>
  </si>
  <si>
    <t>TOTAL AMOUNT</t>
  </si>
  <si>
    <t>TOTAL AMOUNT(Deducted)</t>
  </si>
  <si>
    <t xml:space="preserve"> 2081-06-15</t>
  </si>
  <si>
    <t xml:space="preserve"> 2081-06-16</t>
  </si>
  <si>
    <t xml:space="preserve"> 2081-06-17</t>
  </si>
  <si>
    <t xml:space="preserve"> 2081-06-18</t>
  </si>
  <si>
    <t xml:space="preserve"> 2081-06-19</t>
  </si>
  <si>
    <t xml:space="preserve"> 2081-06-20</t>
  </si>
  <si>
    <t xml:space="preserve"> 2081-06-21</t>
  </si>
  <si>
    <t xml:space="preserve"> 2081-06-22</t>
  </si>
  <si>
    <t xml:space="preserve"> 2081-06-23</t>
  </si>
  <si>
    <t xml:space="preserve"> 2081-06-24</t>
  </si>
  <si>
    <t xml:space="preserve"> 2081-06-25</t>
  </si>
  <si>
    <t xml:space="preserve"> 2081-06-26</t>
  </si>
  <si>
    <t xml:space="preserve"> 2081-06-27</t>
  </si>
  <si>
    <t xml:space="preserve"> 2081-06-28</t>
  </si>
  <si>
    <t xml:space="preserve"> 2081-06-29</t>
  </si>
  <si>
    <t xml:space="preserve"> 2081-06-30</t>
  </si>
  <si>
    <t xml:space="preserve"> 2082-07-01</t>
  </si>
  <si>
    <t xml:space="preserve"> 2082-07-02</t>
  </si>
  <si>
    <t xml:space="preserve"> 2082-07-03</t>
  </si>
  <si>
    <t xml:space="preserve"> 2082-07-04</t>
  </si>
  <si>
    <t xml:space="preserve"> 2082-07-05</t>
  </si>
  <si>
    <t xml:space="preserve"> 2082-07-06</t>
  </si>
  <si>
    <t xml:space="preserve"> 2082-07-07</t>
  </si>
  <si>
    <t xml:space="preserve"> 2082-07-08</t>
  </si>
  <si>
    <t xml:space="preserve"> 2082-07-09</t>
  </si>
  <si>
    <t xml:space="preserve"> 2082-07-11</t>
  </si>
  <si>
    <t xml:space="preserve"> 2082-07-12</t>
  </si>
  <si>
    <t xml:space="preserve"> 2082-07-13</t>
  </si>
  <si>
    <t xml:space="preserve"> 2082-07-14</t>
  </si>
  <si>
    <t>FOR THE MONTH October,2025</t>
  </si>
  <si>
    <t xml:space="preserve"> 2081-06-31</t>
  </si>
  <si>
    <t xml:space="preserve"> 2081-07-15</t>
  </si>
  <si>
    <t xml:space="preserve"> 2081-07-16</t>
  </si>
  <si>
    <t xml:space="preserve"> 2081-07-17</t>
  </si>
  <si>
    <t xml:space="preserve"> 2081-07-18</t>
  </si>
  <si>
    <t xml:space="preserve"> 2081-07-19</t>
  </si>
  <si>
    <t xml:space="preserve"> 2081-07-20</t>
  </si>
  <si>
    <t xml:space="preserve"> 2081-07-21</t>
  </si>
  <si>
    <t xml:space="preserve"> 2081-07-22</t>
  </si>
  <si>
    <t xml:space="preserve"> 2081-07-23</t>
  </si>
  <si>
    <t xml:space="preserve"> 2081-07-24</t>
  </si>
  <si>
    <t xml:space="preserve"> 2081-07-25</t>
  </si>
  <si>
    <t xml:space="preserve"> 2081-07-26</t>
  </si>
  <si>
    <t xml:space="preserve"> 2081-07-27</t>
  </si>
  <si>
    <t xml:space="preserve"> 2081-07-28</t>
  </si>
  <si>
    <t xml:space="preserve"> 2081-07-29</t>
  </si>
  <si>
    <t xml:space="preserve"> 2081-07-30</t>
  </si>
  <si>
    <t xml:space="preserve"> 2082-08-01</t>
  </si>
  <si>
    <t xml:space="preserve"> 2082-08-02</t>
  </si>
  <si>
    <t xml:space="preserve"> 2082-08-03</t>
  </si>
  <si>
    <t xml:space="preserve"> 2082-08-04</t>
  </si>
  <si>
    <t xml:space="preserve"> 2082-08-05</t>
  </si>
  <si>
    <t xml:space="preserve"> 2082-08-06</t>
  </si>
  <si>
    <t xml:space="preserve"> 2082-08-07</t>
  </si>
  <si>
    <t xml:space="preserve"> 2082-08-08</t>
  </si>
  <si>
    <t xml:space="preserve"> 2082-08-09</t>
  </si>
  <si>
    <t xml:space="preserve"> 2082-08-10</t>
  </si>
  <si>
    <t xml:space="preserve"> 2082-08-11</t>
  </si>
  <si>
    <t xml:space="preserve"> 2082-08-12</t>
  </si>
  <si>
    <t xml:space="preserve"> 2082-08-13</t>
  </si>
  <si>
    <t xml:space="preserve"> 2082-08-14</t>
  </si>
  <si>
    <t>FOR THE MONTH November,2025</t>
  </si>
  <si>
    <t>OCTOBER Remaining</t>
  </si>
  <si>
    <t>CHEQUE</t>
  </si>
  <si>
    <t>Remaining</t>
  </si>
  <si>
    <t>Total Remaining</t>
  </si>
  <si>
    <t xml:space="preserve"> 2082-08-15</t>
  </si>
  <si>
    <t xml:space="preserve"> 2082-08-16</t>
  </si>
  <si>
    <t xml:space="preserve"> 2082-08-17</t>
  </si>
  <si>
    <t xml:space="preserve"> 2082-08-18</t>
  </si>
  <si>
    <t xml:space="preserve"> 2082-08-19</t>
  </si>
  <si>
    <t xml:space="preserve"> 2082-08-20</t>
  </si>
  <si>
    <t xml:space="preserve"> 2082-08-21</t>
  </si>
  <si>
    <t xml:space="preserve"> 2082-08-22</t>
  </si>
  <si>
    <t xml:space="preserve"> 2082-08-23</t>
  </si>
  <si>
    <t xml:space="preserve"> 2082-08-24</t>
  </si>
  <si>
    <t xml:space="preserve"> 2082-08-25</t>
  </si>
  <si>
    <t xml:space="preserve"> 2082-08-26</t>
  </si>
  <si>
    <t xml:space="preserve"> 2082-08-27</t>
  </si>
  <si>
    <t xml:space="preserve"> 2082-08-28</t>
  </si>
  <si>
    <t xml:space="preserve"> 2082-08-29</t>
  </si>
  <si>
    <t xml:space="preserve"> 2082-09-01</t>
  </si>
  <si>
    <t xml:space="preserve"> 2082-09-02</t>
  </si>
  <si>
    <t xml:space="preserve"> 2082-09-03</t>
  </si>
  <si>
    <t xml:space="preserve"> 2082-09-04</t>
  </si>
  <si>
    <t xml:space="preserve"> 2082-09-05</t>
  </si>
  <si>
    <t xml:space="preserve"> 2082-09-06</t>
  </si>
  <si>
    <t xml:space="preserve"> 2082-09-07</t>
  </si>
  <si>
    <t xml:space="preserve"> 2082-09-08</t>
  </si>
  <si>
    <t xml:space="preserve"> 2082-09-09</t>
  </si>
  <si>
    <t xml:space="preserve"> 2082-09-10</t>
  </si>
  <si>
    <t xml:space="preserve"> 2082-09-11</t>
  </si>
  <si>
    <t xml:space="preserve"> 2082-09-12</t>
  </si>
  <si>
    <t xml:space="preserve"> 2082-09-13</t>
  </si>
  <si>
    <t xml:space="preserve"> 2082-09-14</t>
  </si>
  <si>
    <t>FOR THE MONTH December,2025</t>
  </si>
  <si>
    <t xml:space="preserve"> 2082-09-15</t>
  </si>
  <si>
    <t xml:space="preserve"> 2082-09-16</t>
  </si>
  <si>
    <t xml:space="preserve"> 2082-09-17</t>
  </si>
  <si>
    <t>FOR THE MONTH January,2026</t>
  </si>
  <si>
    <t xml:space="preserve"> 2082-09-18</t>
  </si>
  <si>
    <t xml:space="preserve"> 2082-09-19</t>
  </si>
  <si>
    <t xml:space="preserve"> 2082-09-20</t>
  </si>
  <si>
    <t xml:space="preserve"> 2082-09-21</t>
  </si>
  <si>
    <t xml:space="preserve"> 2082-09-22</t>
  </si>
  <si>
    <t xml:space="preserve"> 2082-09-23</t>
  </si>
  <si>
    <t xml:space="preserve"> 2082-09-24</t>
  </si>
  <si>
    <t xml:space="preserve"> 2082-09-25</t>
  </si>
  <si>
    <t xml:space="preserve"> 2082-09-26</t>
  </si>
  <si>
    <t xml:space="preserve"> 2082-09-27</t>
  </si>
  <si>
    <t xml:space="preserve"> 2082-09-28</t>
  </si>
  <si>
    <t xml:space="preserve"> 2082-09-29</t>
  </si>
  <si>
    <t xml:space="preserve"> 2082-09-30</t>
  </si>
  <si>
    <t xml:space="preserve"> 2082-10-01</t>
  </si>
  <si>
    <t xml:space="preserve"> 2082-10-02</t>
  </si>
  <si>
    <t xml:space="preserve"> 2082-10-03</t>
  </si>
  <si>
    <t xml:space="preserve"> 2082-10-04</t>
  </si>
  <si>
    <t xml:space="preserve"> 2082-10-05</t>
  </si>
  <si>
    <t xml:space="preserve"> 2082-10-06</t>
  </si>
  <si>
    <t xml:space="preserve"> 2082-10-07</t>
  </si>
  <si>
    <t xml:space="preserve"> 2082-10-08</t>
  </si>
  <si>
    <t xml:space="preserve"> 2082-10-09</t>
  </si>
  <si>
    <t xml:space="preserve"> 2082-10-10</t>
  </si>
  <si>
    <t xml:space="preserve"> 2082-10-11</t>
  </si>
  <si>
    <t xml:space="preserve"> 2082-10-12</t>
  </si>
  <si>
    <t xml:space="preserve"> 2082-10-13</t>
  </si>
  <si>
    <t xml:space="preserve"> 2082-10-14</t>
  </si>
  <si>
    <t xml:space="preserve"> 2082-10-15</t>
  </si>
  <si>
    <t xml:space="preserve"> 2082-10-16</t>
  </si>
  <si>
    <t>paid</t>
  </si>
  <si>
    <t xml:space="preserve"> 2082-10-17</t>
  </si>
  <si>
    <t xml:space="preserve"> 2082-10-18</t>
  </si>
  <si>
    <t xml:space="preserve"> 2082-10-19</t>
  </si>
  <si>
    <t xml:space="preserve"> 2082-10-20</t>
  </si>
  <si>
    <t xml:space="preserve"> 2082-10-21</t>
  </si>
  <si>
    <t xml:space="preserve"> 2082-10-22</t>
  </si>
  <si>
    <t xml:space="preserve"> 2082-10-23</t>
  </si>
  <si>
    <t xml:space="preserve"> 2082-10-24</t>
  </si>
  <si>
    <t xml:space="preserve"> 2082-10-25</t>
  </si>
  <si>
    <t xml:space="preserve"> 2082-10-26</t>
  </si>
  <si>
    <t xml:space="preserve"> 2082-10-27</t>
  </si>
  <si>
    <t xml:space="preserve"> 2082-10-28</t>
  </si>
  <si>
    <t xml:space="preserve"> 2082-10-29</t>
  </si>
  <si>
    <t xml:space="preserve"> 2082-11-01</t>
  </si>
  <si>
    <t xml:space="preserve"> 2082-11-02</t>
  </si>
  <si>
    <t xml:space="preserve"> 2082-11-03</t>
  </si>
  <si>
    <t xml:space="preserve"> 2082-11-04</t>
  </si>
  <si>
    <t xml:space="preserve"> 2082-11-05</t>
  </si>
  <si>
    <t xml:space="preserve"> 2082-11-06</t>
  </si>
  <si>
    <t xml:space="preserve"> 2082-11-07</t>
  </si>
  <si>
    <t xml:space="preserve"> 2082-11-08</t>
  </si>
  <si>
    <t xml:space="preserve"> 2082-11-09</t>
  </si>
  <si>
    <t xml:space="preserve"> 2082-11-10</t>
  </si>
  <si>
    <t xml:space="preserve"> 2082-11-11</t>
  </si>
  <si>
    <t xml:space="preserve"> 2082-11-12</t>
  </si>
  <si>
    <t xml:space="preserve"> 2082-11-13</t>
  </si>
  <si>
    <t xml:space="preserve"> 2082-11-14</t>
  </si>
  <si>
    <t xml:space="preserve"> 2082-11-15</t>
  </si>
  <si>
    <t xml:space="preserve"> 2082-11-16</t>
  </si>
  <si>
    <t xml:space="preserve"> 2082-11-17</t>
  </si>
  <si>
    <t>FOR THE MONTH February,2026</t>
  </si>
  <si>
    <t>FOR THE MONTH March,2026</t>
  </si>
  <si>
    <t xml:space="preserve"> 2082-11-18</t>
  </si>
  <si>
    <t xml:space="preserve"> 2082-11-19</t>
  </si>
  <si>
    <t xml:space="preserve"> 2082-11-20</t>
  </si>
  <si>
    <t xml:space="preserve"> 2082-11-21</t>
  </si>
  <si>
    <t xml:space="preserve"> 2082-11-22</t>
  </si>
  <si>
    <t xml:space="preserve"> 2082-11-23</t>
  </si>
  <si>
    <t xml:space="preserve"> 2082-11-24</t>
  </si>
  <si>
    <t xml:space="preserve"> 2082-11-25</t>
  </si>
  <si>
    <t xml:space="preserve"> 2082-11-26</t>
  </si>
  <si>
    <t xml:space="preserve"> 2082-11-27</t>
  </si>
  <si>
    <t xml:space="preserve"> 2082-11-28</t>
  </si>
  <si>
    <t xml:space="preserve"> 2082-11-29</t>
  </si>
  <si>
    <t xml:space="preserve"> 2082-12-01</t>
  </si>
  <si>
    <t xml:space="preserve"> 2082-12-02</t>
  </si>
  <si>
    <t xml:space="preserve"> 2082-12-03</t>
  </si>
  <si>
    <t xml:space="preserve"> 2082-12-04</t>
  </si>
  <si>
    <t xml:space="preserve"> 2082-12-05</t>
  </si>
  <si>
    <t xml:space="preserve"> 2082-12-06</t>
  </si>
  <si>
    <t xml:space="preserve"> 2082-12-07</t>
  </si>
  <si>
    <t xml:space="preserve"> 2082-12-08</t>
  </si>
  <si>
    <t xml:space="preserve"> 2082-12-09</t>
  </si>
  <si>
    <t xml:space="preserve"> 2082-12-10</t>
  </si>
  <si>
    <t xml:space="preserve"> 2082-12-11</t>
  </si>
  <si>
    <t xml:space="preserve"> 2082-12-12</t>
  </si>
  <si>
    <t xml:space="preserve"> 2082-12-13</t>
  </si>
  <si>
    <t xml:space="preserve"> 2082-12-14</t>
  </si>
  <si>
    <t xml:space="preserve"> 2082-12-15</t>
  </si>
  <si>
    <t xml:space="preserve"> 2082-12-16</t>
  </si>
  <si>
    <t xml:space="preserve"> 2082-12-17</t>
  </si>
  <si>
    <t xml:space="preserve"> 2082-11-30</t>
  </si>
  <si>
    <t>FOR THE MONTH April,2026</t>
  </si>
  <si>
    <t xml:space="preserve"> 2082-12-18</t>
  </si>
  <si>
    <t xml:space="preserve"> 2082-12-19</t>
  </si>
  <si>
    <t xml:space="preserve"> 2082-12-20</t>
  </si>
  <si>
    <t xml:space="preserve"> 2082-12-21</t>
  </si>
  <si>
    <t xml:space="preserve"> 2082-12-22</t>
  </si>
  <si>
    <t xml:space="preserve"> 2082-12-23</t>
  </si>
  <si>
    <t xml:space="preserve"> 2082-12-24</t>
  </si>
  <si>
    <t xml:space="preserve"> 2082-12-25</t>
  </si>
  <si>
    <t xml:space="preserve"> 2082-12-26</t>
  </si>
  <si>
    <t xml:space="preserve"> 2082-12-27</t>
  </si>
  <si>
    <t xml:space="preserve"> 2082-12-28</t>
  </si>
  <si>
    <t xml:space="preserve"> 2082-12-29</t>
  </si>
  <si>
    <t xml:space="preserve"> 2082-12-30</t>
  </si>
  <si>
    <t xml:space="preserve"> 2082-12-31</t>
  </si>
  <si>
    <t xml:space="preserve"> 2083-1-01</t>
  </si>
  <si>
    <t xml:space="preserve"> 2083-1-02</t>
  </si>
  <si>
    <t xml:space="preserve"> 2083-1-03</t>
  </si>
  <si>
    <t xml:space="preserve"> 2083-1-04</t>
  </si>
  <si>
    <t xml:space="preserve"> 2083-1-05</t>
  </si>
  <si>
    <t xml:space="preserve"> 2083-1-06</t>
  </si>
  <si>
    <t xml:space="preserve"> 2083-1-07</t>
  </si>
  <si>
    <t xml:space="preserve"> 2083-1-08</t>
  </si>
  <si>
    <t xml:space="preserve"> 2083-1-09</t>
  </si>
  <si>
    <t xml:space="preserve"> 2083-1-10</t>
  </si>
  <si>
    <t xml:space="preserve"> 2083-1-11</t>
  </si>
  <si>
    <t xml:space="preserve"> 2083-1-12</t>
  </si>
  <si>
    <t xml:space="preserve"> 2083-1-13</t>
  </si>
  <si>
    <t xml:space="preserve"> 2083-1-14</t>
  </si>
  <si>
    <t xml:space="preserve"> 2083-1-15</t>
  </si>
  <si>
    <t xml:space="preserve"> 2083-1-16</t>
  </si>
  <si>
    <t xml:space="preserve"> 2083-1-17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</si>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</sst>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3" fillId="0" borderId="1" xfId="0" applyNumberFormat="1" applyFont="1" applyBorder="1"/>
    <xf numFmtId="0" fontId="0" fillId="0" borderId="1" xfId="0" applyNumberFormat="1" applyBorder="1"/>
    <xf numFmtId="0" fontId="5" fillId="0" borderId="1" xfId="0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/>
    <xf numFmtId="0" fontId="8" fillId="0" borderId="1" xfId="0" applyFont="1" applyBorder="1"/>
    <xf numFmtId="0" fontId="9" fillId="0" borderId="1" xfId="0" applyFont="1" applyBorder="1"/>
    <xf numFmtId="0" fontId="7" fillId="0" borderId="5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379880</xdr:rowOff>
    </xdr:from>
    <xdr:to>
      <xdr:col>7</xdr:col>
      <xdr:colOff>15240</xdr:colOff>
      <xdr:row>47</xdr:row>
      <xdr:rowOff>89424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1CEDBA-1A2F-46AE-921A-7938052CC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20860"/>
          <a:ext cx="7962900" cy="3626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G31"/>
  <sheetViews>
    <sheetView topLeftCell="A46" zoomScaleNormal="100" workbookViewId="0">
      <selection activeCell="H68" sqref="H68"/>
    </sheetView>
  </sheetViews>
  <sheetFormatPr defaultRowHeight="14.4" x14ac:dyDescent="0.3"/>
  <cols>
    <col min="1" max="1" width="19.6640625" customWidth="1"/>
    <col min="2" max="2" width="16.44140625" customWidth="1"/>
    <col min="3" max="3" width="18.5546875" customWidth="1"/>
    <col min="4" max="4" width="6.44140625" customWidth="1"/>
    <col min="5" max="6" width="17.6640625" customWidth="1"/>
    <col min="7" max="7" width="19.44140625" customWidth="1"/>
  </cols>
  <sheetData>
    <row r="1" spans="1:7" ht="33.6" x14ac:dyDescent="0.65">
      <c r="A1" s="26" t="s">
        <v>0</v>
      </c>
      <c r="B1" s="26"/>
      <c r="C1" s="26"/>
      <c r="D1" s="26"/>
      <c r="E1" s="26"/>
      <c r="F1" s="26"/>
      <c r="G1" s="26"/>
    </row>
    <row r="2" spans="1:7" ht="33.6" x14ac:dyDescent="0.65">
      <c r="A2" s="26" t="s">
        <v>35</v>
      </c>
      <c r="B2" s="26"/>
      <c r="C2" s="26"/>
      <c r="D2" s="26"/>
      <c r="E2" s="26"/>
      <c r="F2" s="26"/>
      <c r="G2" s="26"/>
    </row>
    <row r="3" spans="1:7" ht="23.4" x14ac:dyDescent="0.45">
      <c r="A3" s="3" t="s">
        <v>1</v>
      </c>
      <c r="B3" s="10" t="s">
        <v>2</v>
      </c>
      <c r="C3" s="10" t="s">
        <v>3</v>
      </c>
      <c r="D3" s="25"/>
      <c r="E3" s="3" t="s">
        <v>1</v>
      </c>
      <c r="F3" s="10" t="s">
        <v>2</v>
      </c>
      <c r="G3" s="10" t="s">
        <v>3</v>
      </c>
    </row>
    <row r="4" spans="1:7" ht="23.4" customHeight="1" x14ac:dyDescent="0.35">
      <c r="A4" s="6" t="s">
        <v>6</v>
      </c>
      <c r="B4" s="11"/>
      <c r="C4" s="11"/>
      <c r="D4" s="25"/>
      <c r="E4" s="6" t="s">
        <v>22</v>
      </c>
      <c r="F4" s="13">
        <v>2675</v>
      </c>
      <c r="G4" s="12">
        <v>2300</v>
      </c>
    </row>
    <row r="5" spans="1:7" ht="18" customHeight="1" x14ac:dyDescent="0.35">
      <c r="A5" s="6" t="s">
        <v>7</v>
      </c>
      <c r="B5" s="11"/>
      <c r="C5" s="11"/>
      <c r="D5" s="25"/>
      <c r="E5" s="6" t="s">
        <v>23</v>
      </c>
      <c r="F5" s="13">
        <v>3700</v>
      </c>
      <c r="G5" s="12">
        <v>3110</v>
      </c>
    </row>
    <row r="6" spans="1:7" ht="18" customHeight="1" x14ac:dyDescent="0.35">
      <c r="A6" s="6" t="s">
        <v>8</v>
      </c>
      <c r="B6" s="12">
        <v>2370</v>
      </c>
      <c r="C6" s="12">
        <v>1840</v>
      </c>
      <c r="D6" s="25"/>
      <c r="E6" s="6" t="s">
        <v>24</v>
      </c>
      <c r="F6" s="13">
        <v>1030</v>
      </c>
      <c r="G6" s="12">
        <v>970</v>
      </c>
    </row>
    <row r="7" spans="1:7" ht="18" customHeight="1" x14ac:dyDescent="0.35">
      <c r="A7" s="6" t="s">
        <v>9</v>
      </c>
      <c r="B7" s="13">
        <v>1980</v>
      </c>
      <c r="C7" s="11">
        <v>1310</v>
      </c>
      <c r="D7" s="25"/>
      <c r="E7" s="6" t="s">
        <v>25</v>
      </c>
      <c r="F7" s="13">
        <v>1425</v>
      </c>
      <c r="G7" s="12">
        <v>1425</v>
      </c>
    </row>
    <row r="8" spans="1:7" ht="18" customHeight="1" x14ac:dyDescent="0.35">
      <c r="A8" s="6" t="s">
        <v>10</v>
      </c>
      <c r="B8" s="13">
        <v>1530</v>
      </c>
      <c r="C8" s="12">
        <v>1190</v>
      </c>
      <c r="D8" s="25"/>
      <c r="E8" s="6" t="s">
        <v>26</v>
      </c>
      <c r="F8" s="15">
        <v>3045</v>
      </c>
      <c r="G8" s="14">
        <v>3045</v>
      </c>
    </row>
    <row r="9" spans="1:7" ht="18" customHeight="1" x14ac:dyDescent="0.35">
      <c r="A9" s="6" t="s">
        <v>11</v>
      </c>
      <c r="B9" s="13">
        <v>1495</v>
      </c>
      <c r="C9" s="12">
        <v>985</v>
      </c>
      <c r="D9" s="25"/>
      <c r="E9" s="6" t="s">
        <v>27</v>
      </c>
      <c r="F9" s="13">
        <v>1390</v>
      </c>
      <c r="G9" s="14">
        <v>1070</v>
      </c>
    </row>
    <row r="10" spans="1:7" ht="18" customHeight="1" x14ac:dyDescent="0.35">
      <c r="A10" s="6" t="s">
        <v>12</v>
      </c>
      <c r="B10" s="13">
        <v>3470</v>
      </c>
      <c r="C10" s="14">
        <v>1715</v>
      </c>
      <c r="D10" s="25"/>
      <c r="E10" s="6" t="s">
        <v>28</v>
      </c>
      <c r="F10" s="13">
        <v>3280</v>
      </c>
      <c r="G10" s="12">
        <v>2570</v>
      </c>
    </row>
    <row r="11" spans="1:7" ht="18" customHeight="1" x14ac:dyDescent="0.35">
      <c r="A11" s="6" t="s">
        <v>13</v>
      </c>
      <c r="B11" s="13">
        <v>2470</v>
      </c>
      <c r="C11" s="12">
        <v>2040</v>
      </c>
      <c r="D11" s="25"/>
      <c r="E11" s="6" t="s">
        <v>29</v>
      </c>
      <c r="F11" s="13">
        <v>2665</v>
      </c>
      <c r="G11" s="12">
        <v>2370</v>
      </c>
    </row>
    <row r="12" spans="1:7" ht="18" customHeight="1" x14ac:dyDescent="0.35">
      <c r="A12" s="6" t="s">
        <v>14</v>
      </c>
      <c r="B12" s="13">
        <v>2535</v>
      </c>
      <c r="C12" s="12">
        <v>1925</v>
      </c>
      <c r="D12" s="25"/>
      <c r="E12" s="6" t="s">
        <v>30</v>
      </c>
      <c r="F12" s="13">
        <v>2900</v>
      </c>
      <c r="G12" s="12">
        <v>790</v>
      </c>
    </row>
    <row r="13" spans="1:7" ht="18" customHeight="1" x14ac:dyDescent="0.35">
      <c r="A13" s="6" t="s">
        <v>14</v>
      </c>
      <c r="B13" s="13">
        <v>925</v>
      </c>
      <c r="C13" s="12">
        <v>685</v>
      </c>
      <c r="D13" s="25"/>
      <c r="E13" s="6" t="s">
        <v>30</v>
      </c>
      <c r="F13" s="13">
        <v>3670</v>
      </c>
      <c r="G13" s="12">
        <v>2645</v>
      </c>
    </row>
    <row r="14" spans="1:7" ht="18" customHeight="1" x14ac:dyDescent="0.35">
      <c r="A14" s="6" t="s">
        <v>15</v>
      </c>
      <c r="B14" s="12">
        <v>2205</v>
      </c>
      <c r="C14" s="12">
        <v>1725</v>
      </c>
      <c r="D14" s="25"/>
      <c r="E14" s="6" t="s">
        <v>31</v>
      </c>
      <c r="F14" s="13">
        <v>2565</v>
      </c>
      <c r="G14" s="12">
        <v>1960</v>
      </c>
    </row>
    <row r="15" spans="1:7" ht="18" customHeight="1" x14ac:dyDescent="0.35">
      <c r="A15" s="6" t="s">
        <v>16</v>
      </c>
      <c r="B15" s="12">
        <v>2170</v>
      </c>
      <c r="C15" s="12">
        <v>1530</v>
      </c>
      <c r="D15" s="25"/>
      <c r="E15" s="6" t="s">
        <v>32</v>
      </c>
      <c r="F15" s="13">
        <v>1760</v>
      </c>
      <c r="G15" s="12">
        <v>1340</v>
      </c>
    </row>
    <row r="16" spans="1:7" ht="18" customHeight="1" x14ac:dyDescent="0.35">
      <c r="A16" s="6" t="s">
        <v>17</v>
      </c>
      <c r="B16" s="13">
        <v>4020</v>
      </c>
      <c r="C16" s="12">
        <v>2645</v>
      </c>
      <c r="D16" s="25"/>
      <c r="E16" s="6" t="s">
        <v>33</v>
      </c>
      <c r="F16" s="13">
        <v>3445</v>
      </c>
      <c r="G16" s="12">
        <v>2605</v>
      </c>
    </row>
    <row r="17" spans="1:7" ht="18" customHeight="1" x14ac:dyDescent="0.35">
      <c r="A17" s="6" t="s">
        <v>18</v>
      </c>
      <c r="B17" s="13">
        <v>1450</v>
      </c>
      <c r="C17" s="12">
        <v>1260</v>
      </c>
      <c r="D17" s="25"/>
      <c r="E17" s="6" t="s">
        <v>34</v>
      </c>
      <c r="F17" s="13">
        <v>3060</v>
      </c>
      <c r="G17" s="12">
        <v>2345</v>
      </c>
    </row>
    <row r="18" spans="1:7" ht="18" customHeight="1" x14ac:dyDescent="0.35">
      <c r="A18" s="6" t="s">
        <v>19</v>
      </c>
      <c r="B18" s="13">
        <v>2275</v>
      </c>
      <c r="C18" s="12">
        <v>1725</v>
      </c>
      <c r="D18" s="25"/>
    </row>
    <row r="19" spans="1:7" ht="18" customHeight="1" x14ac:dyDescent="0.35">
      <c r="A19" s="6" t="s">
        <v>20</v>
      </c>
      <c r="B19" s="13">
        <v>2455</v>
      </c>
      <c r="C19" s="12">
        <v>1835</v>
      </c>
      <c r="D19" s="25"/>
      <c r="E19" s="6"/>
      <c r="F19" s="13"/>
      <c r="G19" s="12"/>
    </row>
    <row r="20" spans="1:7" ht="18" customHeight="1" x14ac:dyDescent="0.35">
      <c r="A20" s="6" t="s">
        <v>21</v>
      </c>
      <c r="B20" s="13">
        <v>1495</v>
      </c>
      <c r="C20" s="12">
        <v>1040</v>
      </c>
      <c r="D20" s="25"/>
      <c r="E20" s="6"/>
      <c r="F20" s="13"/>
      <c r="G20" s="14"/>
    </row>
    <row r="21" spans="1:7" ht="18" customHeight="1" x14ac:dyDescent="0.35">
      <c r="A21" s="6" t="s">
        <v>36</v>
      </c>
      <c r="B21" s="13">
        <v>2500</v>
      </c>
      <c r="C21" s="13">
        <v>2050</v>
      </c>
      <c r="D21" s="25"/>
      <c r="E21" s="6"/>
      <c r="F21" s="8"/>
      <c r="G21" s="7"/>
    </row>
    <row r="22" spans="1:7" ht="14.4" customHeight="1" x14ac:dyDescent="0.3">
      <c r="A22" s="2"/>
      <c r="B22" s="2"/>
      <c r="C22" s="1"/>
      <c r="D22" s="25"/>
      <c r="E22" s="1"/>
      <c r="F22" s="9"/>
      <c r="G22" s="1"/>
    </row>
    <row r="23" spans="1:7" ht="33.6" x14ac:dyDescent="0.65">
      <c r="A23" s="4"/>
      <c r="B23" s="4"/>
      <c r="C23" s="5"/>
      <c r="D23" s="25"/>
      <c r="E23" s="1"/>
      <c r="F23" s="9"/>
      <c r="G23" s="1"/>
    </row>
    <row r="24" spans="1:7" ht="33.6" customHeight="1" x14ac:dyDescent="0.3">
      <c r="A24" s="23" t="s">
        <v>4</v>
      </c>
      <c r="B24" s="23"/>
      <c r="C24" s="23"/>
      <c r="D24" s="23"/>
      <c r="E24" s="24">
        <f>SUM(B4:B22,F4:F21)</f>
        <v>71955</v>
      </c>
      <c r="F24" s="24"/>
      <c r="G24" s="24"/>
    </row>
    <row r="25" spans="1:7" ht="33.6" customHeight="1" x14ac:dyDescent="0.3">
      <c r="A25" s="23"/>
      <c r="B25" s="23"/>
      <c r="C25" s="23"/>
      <c r="D25" s="23"/>
      <c r="E25" s="24"/>
      <c r="F25" s="24"/>
      <c r="G25" s="24"/>
    </row>
    <row r="26" spans="1:7" ht="25.2" customHeight="1" x14ac:dyDescent="0.3">
      <c r="A26" s="23" t="s">
        <v>5</v>
      </c>
      <c r="B26" s="23"/>
      <c r="C26" s="23"/>
      <c r="D26" s="23"/>
      <c r="E26" s="24">
        <f>SUM(C4:C22,G4:G21)</f>
        <v>54045</v>
      </c>
      <c r="F26" s="24"/>
      <c r="G26" s="24"/>
    </row>
    <row r="27" spans="1:7" ht="25.8" customHeight="1" x14ac:dyDescent="0.3">
      <c r="A27" s="23"/>
      <c r="B27" s="23"/>
      <c r="C27" s="23"/>
      <c r="D27" s="23"/>
      <c r="E27" s="24"/>
      <c r="F27" s="24"/>
      <c r="G27" s="24"/>
    </row>
    <row r="28" spans="1:7" ht="31.2" x14ac:dyDescent="0.6">
      <c r="A28" s="22" t="s">
        <v>69</v>
      </c>
      <c r="B28" s="22"/>
      <c r="C28" s="22"/>
      <c r="D28" s="18"/>
      <c r="E28" s="22">
        <v>50240</v>
      </c>
      <c r="F28" s="22"/>
      <c r="G28" s="22"/>
    </row>
    <row r="29" spans="1:7" ht="31.2" x14ac:dyDescent="0.6">
      <c r="A29" s="22" t="s">
        <v>70</v>
      </c>
      <c r="B29" s="22"/>
      <c r="C29" s="22"/>
      <c r="D29" s="18"/>
      <c r="E29" s="22">
        <f>E26-E28</f>
        <v>3805</v>
      </c>
      <c r="F29" s="22"/>
      <c r="G29" s="22"/>
    </row>
    <row r="30" spans="1:7" ht="23.4" x14ac:dyDescent="0.45">
      <c r="A30" s="17"/>
      <c r="B30" s="17"/>
      <c r="C30" s="17"/>
      <c r="D30" s="16"/>
      <c r="E30" s="17"/>
      <c r="F30" s="17"/>
      <c r="G30" s="17"/>
    </row>
    <row r="31" spans="1:7" ht="23.4" x14ac:dyDescent="0.45">
      <c r="A31" s="17"/>
      <c r="B31" s="17"/>
      <c r="C31" s="17"/>
      <c r="D31" s="16"/>
      <c r="E31" s="17"/>
      <c r="F31" s="17"/>
      <c r="G31" s="17"/>
    </row>
  </sheetData>
  <mergeCells count="12">
    <mergeCell ref="D3:D23"/>
    <mergeCell ref="A1:G1"/>
    <mergeCell ref="A2:G2"/>
    <mergeCell ref="A24:C25"/>
    <mergeCell ref="E24:G25"/>
    <mergeCell ref="D24:D27"/>
    <mergeCell ref="A28:C28"/>
    <mergeCell ref="E28:G28"/>
    <mergeCell ref="A29:C29"/>
    <mergeCell ref="E29:G29"/>
    <mergeCell ref="A26:C27"/>
    <mergeCell ref="E26:G27"/>
  </mergeCells>
  <pageMargins left="0.7" right="0.7" top="0.75" bottom="0.75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A835-6DC9-4B4D-8D9C-6FE1CD2D3A16}">
  <dimension ref="A1:G30"/>
  <sheetViews>
    <sheetView zoomScale="85" zoomScaleNormal="85" workbookViewId="0">
      <selection activeCell="B3" sqref="B3:C3"/>
    </sheetView>
  </sheetViews>
  <sheetFormatPr defaultRowHeight="14.4" x14ac:dyDescent="0.3"/>
  <cols>
    <col min="1" max="1" width="13.88671875" bestFit="1" customWidth="1"/>
    <col min="2" max="2" width="14.88671875" bestFit="1" customWidth="1"/>
    <col min="3" max="3" width="26.109375" customWidth="1"/>
    <col min="4" max="4" width="10.33203125" customWidth="1"/>
    <col min="5" max="5" width="13.88671875" bestFit="1" customWidth="1"/>
    <col min="6" max="6" width="16.5546875" customWidth="1"/>
    <col min="7" max="7" width="21.109375" customWidth="1"/>
  </cols>
  <sheetData>
    <row r="1" spans="1:7" ht="33.6" x14ac:dyDescent="0.65">
      <c r="A1" s="26" t="s">
        <v>0</v>
      </c>
      <c r="B1" s="26"/>
      <c r="C1" s="26"/>
      <c r="D1" s="26"/>
      <c r="E1" s="26"/>
      <c r="F1" s="26"/>
      <c r="G1" s="26"/>
    </row>
    <row r="2" spans="1:7" ht="33.6" x14ac:dyDescent="0.65">
      <c r="A2" s="26" t="s">
        <v>67</v>
      </c>
      <c r="B2" s="26"/>
      <c r="C2" s="26"/>
      <c r="D2" s="26"/>
      <c r="E2" s="26"/>
      <c r="F2" s="26"/>
      <c r="G2" s="26"/>
    </row>
    <row r="3" spans="1:7" ht="23.4" x14ac:dyDescent="0.45">
      <c r="A3" s="3" t="s">
        <v>1</v>
      </c>
      <c r="B3" s="10" t="s">
        <v>2</v>
      </c>
      <c r="C3" s="10" t="s">
        <v>3</v>
      </c>
      <c r="D3" s="25"/>
      <c r="E3" s="3" t="s">
        <v>1</v>
      </c>
      <c r="F3" s="10" t="s">
        <v>2</v>
      </c>
      <c r="G3" s="10" t="s">
        <v>3</v>
      </c>
    </row>
    <row r="4" spans="1:7" ht="21" x14ac:dyDescent="0.35">
      <c r="A4" s="6" t="s">
        <v>37</v>
      </c>
      <c r="B4" s="11">
        <v>3415</v>
      </c>
      <c r="C4" s="11">
        <v>3415</v>
      </c>
      <c r="D4" s="25"/>
      <c r="E4" s="6" t="s">
        <v>53</v>
      </c>
      <c r="F4" s="13">
        <v>2250</v>
      </c>
      <c r="G4" s="12">
        <v>1710</v>
      </c>
    </row>
    <row r="5" spans="1:7" ht="21" x14ac:dyDescent="0.35">
      <c r="A5" s="6" t="s">
        <v>38</v>
      </c>
      <c r="B5" s="11">
        <v>2560</v>
      </c>
      <c r="C5" s="11">
        <v>1945</v>
      </c>
      <c r="D5" s="25"/>
      <c r="E5" s="6" t="s">
        <v>54</v>
      </c>
      <c r="F5" s="13">
        <v>1970</v>
      </c>
      <c r="G5" s="12">
        <v>1330</v>
      </c>
    </row>
    <row r="6" spans="1:7" ht="21" x14ac:dyDescent="0.35">
      <c r="A6" s="6" t="s">
        <v>39</v>
      </c>
      <c r="B6" s="12">
        <v>2580</v>
      </c>
      <c r="C6" s="12">
        <v>1815</v>
      </c>
      <c r="D6" s="25"/>
      <c r="E6" s="6" t="s">
        <v>55</v>
      </c>
      <c r="F6" s="13">
        <v>2305</v>
      </c>
      <c r="G6" s="12">
        <v>1755</v>
      </c>
    </row>
    <row r="7" spans="1:7" ht="21" x14ac:dyDescent="0.35">
      <c r="A7" s="6" t="s">
        <v>40</v>
      </c>
      <c r="B7" s="13">
        <v>2645</v>
      </c>
      <c r="C7" s="11">
        <v>2060</v>
      </c>
      <c r="D7" s="25"/>
      <c r="E7" s="6" t="s">
        <v>56</v>
      </c>
      <c r="F7" s="13">
        <v>2690</v>
      </c>
      <c r="G7" s="12">
        <v>2290</v>
      </c>
    </row>
    <row r="8" spans="1:7" ht="21" x14ac:dyDescent="0.35">
      <c r="A8" s="6" t="s">
        <v>41</v>
      </c>
      <c r="B8" s="13">
        <v>3265</v>
      </c>
      <c r="C8" s="12">
        <v>2985</v>
      </c>
      <c r="D8" s="25"/>
      <c r="E8" s="6" t="s">
        <v>57</v>
      </c>
      <c r="F8" s="15">
        <v>2065</v>
      </c>
      <c r="G8" s="14">
        <v>1750</v>
      </c>
    </row>
    <row r="9" spans="1:7" ht="21" x14ac:dyDescent="0.35">
      <c r="A9" s="6" t="s">
        <v>42</v>
      </c>
      <c r="B9" s="13">
        <v>2680</v>
      </c>
      <c r="C9" s="12">
        <v>2235</v>
      </c>
      <c r="D9" s="25"/>
      <c r="E9" s="6" t="s">
        <v>58</v>
      </c>
      <c r="F9" s="13">
        <v>2890</v>
      </c>
      <c r="G9" s="14">
        <v>1970</v>
      </c>
    </row>
    <row r="10" spans="1:7" ht="21" x14ac:dyDescent="0.35">
      <c r="A10" s="6" t="s">
        <v>43</v>
      </c>
      <c r="B10" s="13">
        <v>1380</v>
      </c>
      <c r="C10" s="14">
        <v>1260</v>
      </c>
      <c r="D10" s="25"/>
      <c r="E10" s="6" t="s">
        <v>59</v>
      </c>
      <c r="F10" s="13">
        <v>3650</v>
      </c>
      <c r="G10" s="12">
        <v>2745</v>
      </c>
    </row>
    <row r="11" spans="1:7" ht="21" x14ac:dyDescent="0.35">
      <c r="A11" s="6" t="s">
        <v>44</v>
      </c>
      <c r="B11" s="13">
        <v>4090</v>
      </c>
      <c r="C11" s="12">
        <v>3175</v>
      </c>
      <c r="D11" s="25"/>
      <c r="E11" s="6" t="s">
        <v>60</v>
      </c>
      <c r="F11" s="13">
        <v>3225</v>
      </c>
      <c r="G11" s="12">
        <v>2275</v>
      </c>
    </row>
    <row r="12" spans="1:7" ht="21" x14ac:dyDescent="0.35">
      <c r="A12" s="6" t="s">
        <v>45</v>
      </c>
      <c r="B12" s="13"/>
      <c r="C12" s="12"/>
      <c r="D12" s="25"/>
      <c r="E12" s="6" t="s">
        <v>61</v>
      </c>
      <c r="F12" s="13">
        <v>2820</v>
      </c>
      <c r="G12" s="12">
        <v>2220</v>
      </c>
    </row>
    <row r="13" spans="1:7" ht="21" x14ac:dyDescent="0.35">
      <c r="A13" s="6" t="s">
        <v>46</v>
      </c>
      <c r="B13" s="13">
        <v>2940</v>
      </c>
      <c r="C13" s="12">
        <v>1570</v>
      </c>
      <c r="D13" s="25"/>
      <c r="E13" s="6" t="s">
        <v>62</v>
      </c>
      <c r="F13" s="13">
        <v>3100</v>
      </c>
      <c r="G13" s="12">
        <v>2400</v>
      </c>
    </row>
    <row r="14" spans="1:7" ht="21" x14ac:dyDescent="0.35">
      <c r="A14" s="6" t="s">
        <v>47</v>
      </c>
      <c r="B14" s="12"/>
      <c r="C14" s="12"/>
      <c r="D14" s="25"/>
      <c r="E14" s="6" t="s">
        <v>63</v>
      </c>
      <c r="F14" s="13">
        <v>1700</v>
      </c>
      <c r="G14" s="12">
        <v>1310</v>
      </c>
    </row>
    <row r="15" spans="1:7" ht="21" x14ac:dyDescent="0.35">
      <c r="A15" s="6" t="s">
        <v>48</v>
      </c>
      <c r="B15" s="12">
        <v>3080</v>
      </c>
      <c r="C15" s="12">
        <v>2245</v>
      </c>
      <c r="D15" s="25"/>
      <c r="E15" s="6" t="s">
        <v>64</v>
      </c>
      <c r="F15" s="13">
        <v>1220</v>
      </c>
      <c r="G15" s="12">
        <v>910</v>
      </c>
    </row>
    <row r="16" spans="1:7" ht="21" x14ac:dyDescent="0.35">
      <c r="A16" s="6" t="s">
        <v>49</v>
      </c>
      <c r="B16" s="13">
        <v>2565</v>
      </c>
      <c r="C16" s="12">
        <v>2000</v>
      </c>
      <c r="D16" s="25"/>
      <c r="E16" s="6" t="s">
        <v>65</v>
      </c>
      <c r="F16" s="13">
        <v>2165</v>
      </c>
      <c r="G16" s="12">
        <v>1640</v>
      </c>
    </row>
    <row r="17" spans="1:7" ht="21" x14ac:dyDescent="0.35">
      <c r="A17" s="6" t="s">
        <v>50</v>
      </c>
      <c r="B17" s="13">
        <v>990</v>
      </c>
      <c r="C17" s="12">
        <v>675</v>
      </c>
      <c r="D17" s="25"/>
      <c r="E17" s="6" t="s">
        <v>66</v>
      </c>
      <c r="F17" s="13">
        <v>3710</v>
      </c>
      <c r="G17" s="12">
        <v>2860</v>
      </c>
    </row>
    <row r="18" spans="1:7" ht="21" x14ac:dyDescent="0.35">
      <c r="A18" s="6" t="s">
        <v>51</v>
      </c>
      <c r="B18" s="13">
        <v>2050</v>
      </c>
      <c r="C18" s="12">
        <v>1525</v>
      </c>
      <c r="D18" s="25"/>
    </row>
    <row r="19" spans="1:7" ht="21" x14ac:dyDescent="0.35">
      <c r="A19" s="6" t="s">
        <v>52</v>
      </c>
      <c r="B19" s="13">
        <v>2255</v>
      </c>
      <c r="C19" s="12">
        <v>1730</v>
      </c>
      <c r="D19" s="25"/>
      <c r="E19" s="6"/>
      <c r="F19" s="13"/>
      <c r="G19" s="12"/>
    </row>
    <row r="20" spans="1:7" ht="21" x14ac:dyDescent="0.35">
      <c r="A20" s="6"/>
      <c r="B20" s="13"/>
      <c r="C20" s="12"/>
      <c r="D20" s="25"/>
      <c r="E20" s="6"/>
      <c r="F20" s="13"/>
      <c r="G20" s="14"/>
    </row>
    <row r="21" spans="1:7" ht="21" x14ac:dyDescent="0.35">
      <c r="A21" s="6"/>
      <c r="B21" s="13"/>
      <c r="C21" s="13"/>
      <c r="D21" s="25"/>
      <c r="E21" s="6"/>
      <c r="F21" s="8"/>
      <c r="G21" s="7"/>
    </row>
    <row r="22" spans="1:7" x14ac:dyDescent="0.3">
      <c r="A22" s="2"/>
      <c r="B22" s="2"/>
      <c r="C22" s="1"/>
      <c r="D22" s="25"/>
      <c r="E22" s="1"/>
      <c r="F22" s="9"/>
      <c r="G22" s="1"/>
    </row>
    <row r="23" spans="1:7" ht="33.6" x14ac:dyDescent="0.65">
      <c r="A23" s="4"/>
      <c r="B23" s="4"/>
      <c r="C23" s="5"/>
      <c r="D23" s="25"/>
      <c r="E23" s="1"/>
      <c r="F23" s="9"/>
      <c r="G23" s="1"/>
    </row>
    <row r="24" spans="1:7" x14ac:dyDescent="0.3">
      <c r="A24" s="23" t="s">
        <v>4</v>
      </c>
      <c r="B24" s="23"/>
      <c r="C24" s="23"/>
      <c r="D24" s="23"/>
      <c r="E24" s="24">
        <f>SUM(B4:B22,F4:F21)</f>
        <v>72255</v>
      </c>
      <c r="F24" s="24"/>
      <c r="G24" s="24"/>
    </row>
    <row r="25" spans="1:7" ht="43.8" customHeight="1" x14ac:dyDescent="0.3">
      <c r="A25" s="23"/>
      <c r="B25" s="23"/>
      <c r="C25" s="23"/>
      <c r="D25" s="23"/>
      <c r="E25" s="24"/>
      <c r="F25" s="24"/>
      <c r="G25" s="24"/>
    </row>
    <row r="26" spans="1:7" x14ac:dyDescent="0.3">
      <c r="A26" s="23" t="s">
        <v>5</v>
      </c>
      <c r="B26" s="23"/>
      <c r="C26" s="23"/>
      <c r="D26" s="23"/>
      <c r="E26" s="24">
        <f>SUM(C4:C22,G4:G21)</f>
        <v>55800</v>
      </c>
      <c r="F26" s="24"/>
      <c r="G26" s="24"/>
    </row>
    <row r="27" spans="1:7" ht="38.4" customHeight="1" x14ac:dyDescent="0.3">
      <c r="A27" s="23"/>
      <c r="B27" s="23"/>
      <c r="C27" s="23"/>
      <c r="D27" s="23"/>
      <c r="E27" s="24"/>
      <c r="F27" s="24"/>
      <c r="G27" s="24"/>
    </row>
    <row r="28" spans="1:7" ht="28.8" x14ac:dyDescent="0.55000000000000004">
      <c r="A28" s="28" t="s">
        <v>68</v>
      </c>
      <c r="B28" s="29"/>
      <c r="C28" s="30"/>
      <c r="D28" s="19"/>
      <c r="E28" s="28">
        <v>3805</v>
      </c>
      <c r="F28" s="29"/>
      <c r="G28" s="30"/>
    </row>
    <row r="29" spans="1:7" ht="9.6" customHeight="1" x14ac:dyDescent="0.55000000000000004">
      <c r="A29" s="31"/>
      <c r="B29" s="32"/>
      <c r="C29" s="32"/>
      <c r="D29" s="32"/>
      <c r="E29" s="32"/>
      <c r="F29" s="32"/>
      <c r="G29" s="33"/>
    </row>
    <row r="30" spans="1:7" ht="28.8" x14ac:dyDescent="0.55000000000000004">
      <c r="A30" s="27" t="s">
        <v>71</v>
      </c>
      <c r="B30" s="27"/>
      <c r="C30" s="27"/>
      <c r="D30" s="19"/>
      <c r="E30" s="27">
        <f>E26+E28</f>
        <v>59605</v>
      </c>
      <c r="F30" s="27"/>
      <c r="G30" s="27"/>
    </row>
  </sheetData>
  <mergeCells count="13">
    <mergeCell ref="A1:G1"/>
    <mergeCell ref="A2:G2"/>
    <mergeCell ref="D3:D23"/>
    <mergeCell ref="A24:C25"/>
    <mergeCell ref="D24:D27"/>
    <mergeCell ref="E24:G25"/>
    <mergeCell ref="A26:C27"/>
    <mergeCell ref="E26:G27"/>
    <mergeCell ref="A30:C30"/>
    <mergeCell ref="E30:G30"/>
    <mergeCell ref="A28:C28"/>
    <mergeCell ref="E28:G28"/>
    <mergeCell ref="A29:G29"/>
  </mergeCells>
  <pageMargins left="0.7" right="0.7" top="0.75" bottom="0.75" header="0.3" footer="0.3"/>
  <pageSetup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81A3-D3B8-463A-855D-7C1E4006EB28}">
  <dimension ref="A1:G29"/>
  <sheetViews>
    <sheetView topLeftCell="A22" workbookViewId="0">
      <selection activeCell="F32" sqref="F32"/>
    </sheetView>
  </sheetViews>
  <sheetFormatPr defaultRowHeight="14.4" x14ac:dyDescent="0.3"/>
  <cols>
    <col min="1" max="1" width="13.88671875" bestFit="1" customWidth="1"/>
    <col min="2" max="2" width="14.88671875" bestFit="1" customWidth="1"/>
    <col min="3" max="3" width="25.88671875" customWidth="1"/>
    <col min="5" max="5" width="13.88671875" bestFit="1" customWidth="1"/>
    <col min="6" max="6" width="14.88671875" bestFit="1" customWidth="1"/>
    <col min="7" max="7" width="18.109375" bestFit="1" customWidth="1"/>
  </cols>
  <sheetData>
    <row r="1" spans="1:7" ht="33.6" x14ac:dyDescent="0.65">
      <c r="A1" s="26" t="s">
        <v>0</v>
      </c>
      <c r="B1" s="26"/>
      <c r="C1" s="26"/>
      <c r="D1" s="26"/>
      <c r="E1" s="26"/>
      <c r="F1" s="26"/>
      <c r="G1" s="26"/>
    </row>
    <row r="2" spans="1:7" ht="33.6" x14ac:dyDescent="0.65">
      <c r="A2" s="26" t="s">
        <v>101</v>
      </c>
      <c r="B2" s="26"/>
      <c r="C2" s="26"/>
      <c r="D2" s="26"/>
      <c r="E2" s="26"/>
      <c r="F2" s="26"/>
      <c r="G2" s="26"/>
    </row>
    <row r="3" spans="1:7" ht="23.4" x14ac:dyDescent="0.45">
      <c r="A3" s="3" t="s">
        <v>1</v>
      </c>
      <c r="B3" s="10" t="s">
        <v>2</v>
      </c>
      <c r="C3" s="10" t="s">
        <v>3</v>
      </c>
      <c r="D3" s="25"/>
      <c r="E3" s="3" t="s">
        <v>1</v>
      </c>
      <c r="F3" s="10" t="s">
        <v>2</v>
      </c>
      <c r="G3" s="10" t="s">
        <v>3</v>
      </c>
    </row>
    <row r="4" spans="1:7" ht="21" x14ac:dyDescent="0.35">
      <c r="A4" s="6" t="s">
        <v>72</v>
      </c>
      <c r="B4" s="11">
        <v>2675</v>
      </c>
      <c r="C4" s="11">
        <v>2675</v>
      </c>
      <c r="D4" s="25"/>
      <c r="E4" s="6" t="s">
        <v>87</v>
      </c>
      <c r="F4" s="13">
        <v>1210</v>
      </c>
      <c r="G4" s="12">
        <v>760</v>
      </c>
    </row>
    <row r="5" spans="1:7" ht="21" x14ac:dyDescent="0.35">
      <c r="A5" s="6" t="s">
        <v>73</v>
      </c>
      <c r="B5" s="11">
        <v>2620</v>
      </c>
      <c r="C5" s="11">
        <v>1990</v>
      </c>
      <c r="D5" s="25"/>
      <c r="E5" s="6" t="s">
        <v>88</v>
      </c>
      <c r="F5" s="13">
        <v>2565</v>
      </c>
      <c r="G5" s="12">
        <v>1830</v>
      </c>
    </row>
    <row r="6" spans="1:7" ht="21" x14ac:dyDescent="0.35">
      <c r="A6" s="6" t="s">
        <v>74</v>
      </c>
      <c r="B6" s="12">
        <v>2515</v>
      </c>
      <c r="C6" s="12">
        <v>2090</v>
      </c>
      <c r="D6" s="25"/>
      <c r="E6" s="6" t="s">
        <v>89</v>
      </c>
      <c r="F6" s="13">
        <v>2520</v>
      </c>
      <c r="G6" s="12">
        <v>1895</v>
      </c>
    </row>
    <row r="7" spans="1:7" ht="21" x14ac:dyDescent="0.35">
      <c r="A7" s="6" t="s">
        <v>75</v>
      </c>
      <c r="B7" s="13">
        <v>2695</v>
      </c>
      <c r="C7" s="11">
        <v>1850</v>
      </c>
      <c r="D7" s="25"/>
      <c r="E7" s="6" t="s">
        <v>90</v>
      </c>
      <c r="F7" s="13">
        <v>1535</v>
      </c>
      <c r="G7" s="12">
        <v>1270</v>
      </c>
    </row>
    <row r="8" spans="1:7" ht="21" x14ac:dyDescent="0.35">
      <c r="A8" s="6" t="s">
        <v>76</v>
      </c>
      <c r="B8" s="13">
        <v>2000</v>
      </c>
      <c r="C8" s="12">
        <v>1465</v>
      </c>
      <c r="D8" s="25"/>
      <c r="E8" s="6" t="s">
        <v>91</v>
      </c>
      <c r="F8" s="15">
        <v>1620</v>
      </c>
      <c r="G8" s="14">
        <v>1300</v>
      </c>
    </row>
    <row r="9" spans="1:7" ht="21" x14ac:dyDescent="0.35">
      <c r="A9" s="6" t="s">
        <v>77</v>
      </c>
      <c r="B9" s="13">
        <v>720</v>
      </c>
      <c r="C9" s="12">
        <v>555</v>
      </c>
      <c r="D9" s="25"/>
      <c r="E9" s="6" t="s">
        <v>92</v>
      </c>
      <c r="F9" s="13">
        <v>2300</v>
      </c>
      <c r="G9" s="14">
        <v>1700</v>
      </c>
    </row>
    <row r="10" spans="1:7" ht="21" x14ac:dyDescent="0.35">
      <c r="A10" s="6" t="s">
        <v>78</v>
      </c>
      <c r="B10" s="13">
        <v>1100</v>
      </c>
      <c r="C10" s="14">
        <v>960</v>
      </c>
      <c r="D10" s="25"/>
      <c r="E10" s="6" t="s">
        <v>93</v>
      </c>
      <c r="F10" s="13"/>
      <c r="G10" s="12"/>
    </row>
    <row r="11" spans="1:7" ht="21" x14ac:dyDescent="0.35">
      <c r="A11" s="6" t="s">
        <v>79</v>
      </c>
      <c r="B11" s="13">
        <v>2985</v>
      </c>
      <c r="C11" s="12">
        <v>2195</v>
      </c>
      <c r="D11" s="25"/>
      <c r="E11" s="6" t="s">
        <v>94</v>
      </c>
      <c r="F11" s="13">
        <v>1850</v>
      </c>
      <c r="G11" s="12">
        <v>1610</v>
      </c>
    </row>
    <row r="12" spans="1:7" ht="21" x14ac:dyDescent="0.35">
      <c r="A12" s="6" t="s">
        <v>80</v>
      </c>
      <c r="B12" s="13">
        <v>860</v>
      </c>
      <c r="C12" s="12">
        <v>860</v>
      </c>
      <c r="D12" s="25"/>
      <c r="E12" s="6" t="s">
        <v>95</v>
      </c>
      <c r="F12" s="13">
        <v>3280</v>
      </c>
      <c r="G12" s="12">
        <v>2640</v>
      </c>
    </row>
    <row r="13" spans="1:7" ht="21" x14ac:dyDescent="0.35">
      <c r="A13" s="6" t="s">
        <v>81</v>
      </c>
      <c r="B13" s="13">
        <v>2800</v>
      </c>
      <c r="C13" s="12">
        <v>2010</v>
      </c>
      <c r="D13" s="25"/>
      <c r="E13" s="6" t="s">
        <v>96</v>
      </c>
      <c r="F13" s="13">
        <v>1630</v>
      </c>
      <c r="G13" s="12">
        <v>1630</v>
      </c>
    </row>
    <row r="14" spans="1:7" ht="21" x14ac:dyDescent="0.35">
      <c r="A14" s="6" t="s">
        <v>82</v>
      </c>
      <c r="B14" s="12">
        <v>1520</v>
      </c>
      <c r="C14" s="12">
        <v>1030</v>
      </c>
      <c r="D14" s="25"/>
      <c r="E14" s="6" t="s">
        <v>97</v>
      </c>
      <c r="F14" s="13">
        <v>1840</v>
      </c>
      <c r="G14" s="12">
        <v>1210</v>
      </c>
    </row>
    <row r="15" spans="1:7" ht="21" x14ac:dyDescent="0.35">
      <c r="A15" s="6" t="s">
        <v>83</v>
      </c>
      <c r="B15" s="12">
        <v>1800</v>
      </c>
      <c r="C15" s="12">
        <v>1340</v>
      </c>
      <c r="D15" s="25"/>
      <c r="E15" s="6" t="s">
        <v>98</v>
      </c>
      <c r="F15" s="13">
        <v>2400</v>
      </c>
      <c r="G15" s="12">
        <v>1810</v>
      </c>
    </row>
    <row r="16" spans="1:7" ht="21" x14ac:dyDescent="0.35">
      <c r="A16" s="6" t="s">
        <v>84</v>
      </c>
      <c r="B16" s="13">
        <v>2005</v>
      </c>
      <c r="C16" s="12">
        <v>1630</v>
      </c>
      <c r="D16" s="25"/>
      <c r="E16" s="6" t="s">
        <v>99</v>
      </c>
      <c r="F16" s="13">
        <v>1505</v>
      </c>
      <c r="G16" s="12">
        <v>1505</v>
      </c>
    </row>
    <row r="17" spans="1:7" ht="21" x14ac:dyDescent="0.35">
      <c r="A17" s="6" t="s">
        <v>85</v>
      </c>
      <c r="B17" s="13">
        <v>1740</v>
      </c>
      <c r="C17" s="12">
        <v>1445</v>
      </c>
      <c r="D17" s="25"/>
      <c r="E17" s="6" t="s">
        <v>100</v>
      </c>
      <c r="F17" s="13">
        <v>2050</v>
      </c>
      <c r="G17" s="12">
        <v>1496</v>
      </c>
    </row>
    <row r="18" spans="1:7" ht="21" x14ac:dyDescent="0.35">
      <c r="A18" s="6" t="s">
        <v>86</v>
      </c>
      <c r="B18" s="13">
        <v>3325</v>
      </c>
      <c r="C18" s="12">
        <v>2530</v>
      </c>
      <c r="D18" s="25"/>
      <c r="E18" s="6" t="s">
        <v>102</v>
      </c>
      <c r="F18" s="20">
        <v>1640</v>
      </c>
      <c r="G18" s="21">
        <v>1250</v>
      </c>
    </row>
    <row r="19" spans="1:7" ht="21" x14ac:dyDescent="0.35">
      <c r="A19" s="6"/>
      <c r="B19" s="13"/>
      <c r="C19" s="12"/>
      <c r="D19" s="25"/>
      <c r="E19" s="6" t="s">
        <v>103</v>
      </c>
      <c r="F19" s="13">
        <v>2270</v>
      </c>
      <c r="G19" s="12">
        <v>1605</v>
      </c>
    </row>
    <row r="20" spans="1:7" ht="21" x14ac:dyDescent="0.35">
      <c r="A20" s="6"/>
      <c r="B20" s="13"/>
      <c r="C20" s="12"/>
      <c r="D20" s="25"/>
      <c r="E20" s="6"/>
      <c r="F20" s="13"/>
      <c r="G20" s="14"/>
    </row>
    <row r="21" spans="1:7" ht="21" x14ac:dyDescent="0.35">
      <c r="A21" s="6"/>
      <c r="B21" s="13"/>
      <c r="C21" s="13"/>
      <c r="D21" s="25"/>
      <c r="E21" s="6"/>
      <c r="F21" s="8"/>
      <c r="G21" s="7"/>
    </row>
    <row r="22" spans="1:7" x14ac:dyDescent="0.3">
      <c r="A22" s="2"/>
      <c r="B22" s="2"/>
      <c r="C22" s="1"/>
      <c r="D22" s="25"/>
      <c r="E22" s="1"/>
      <c r="F22" s="9"/>
      <c r="G22" s="1"/>
    </row>
    <row r="23" spans="1:7" ht="33.6" x14ac:dyDescent="0.65">
      <c r="A23" s="4"/>
      <c r="B23" s="4"/>
      <c r="C23" s="5"/>
      <c r="D23" s="25"/>
      <c r="E23" s="1"/>
      <c r="F23" s="9"/>
      <c r="G23" s="1"/>
    </row>
    <row r="24" spans="1:7" x14ac:dyDescent="0.3">
      <c r="A24" s="23" t="s">
        <v>4</v>
      </c>
      <c r="B24" s="23"/>
      <c r="C24" s="23"/>
      <c r="D24" s="23"/>
      <c r="E24" s="24">
        <f>SUM(B4:B22,F4:F21)</f>
        <v>61575</v>
      </c>
      <c r="F24" s="24"/>
      <c r="G24" s="24"/>
    </row>
    <row r="25" spans="1:7" ht="36.6" customHeight="1" x14ac:dyDescent="0.3">
      <c r="A25" s="23"/>
      <c r="B25" s="23"/>
      <c r="C25" s="23"/>
      <c r="D25" s="23"/>
      <c r="E25" s="24"/>
      <c r="F25" s="24"/>
      <c r="G25" s="24"/>
    </row>
    <row r="26" spans="1:7" x14ac:dyDescent="0.3">
      <c r="A26" s="23" t="s">
        <v>5</v>
      </c>
      <c r="B26" s="23"/>
      <c r="C26" s="23"/>
      <c r="D26" s="23"/>
      <c r="E26" s="24">
        <f>SUM(C4:C22,G4:G21)</f>
        <v>48136</v>
      </c>
      <c r="F26" s="24"/>
      <c r="G26" s="24"/>
    </row>
    <row r="27" spans="1:7" ht="42.6" customHeight="1" x14ac:dyDescent="0.3">
      <c r="A27" s="23"/>
      <c r="B27" s="23"/>
      <c r="C27" s="23"/>
      <c r="D27" s="23"/>
      <c r="E27" s="24"/>
      <c r="F27" s="24"/>
      <c r="G27" s="24"/>
    </row>
    <row r="29" spans="1:7" x14ac:dyDescent="0.3">
      <c r="E29" s="34" t="s">
        <v>135</v>
      </c>
      <c r="F29" s="34"/>
      <c r="G29" s="34"/>
    </row>
  </sheetData>
  <mergeCells count="9">
    <mergeCell ref="E29:G29"/>
    <mergeCell ref="A1:G1"/>
    <mergeCell ref="A2:G2"/>
    <mergeCell ref="D3:D23"/>
    <mergeCell ref="A24:C25"/>
    <mergeCell ref="D24:D27"/>
    <mergeCell ref="E24:G25"/>
    <mergeCell ref="A26:C27"/>
    <mergeCell ref="E26:G2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34EF-076A-4706-A9A2-E6F67F44C68B}">
  <dimension ref="A1:G27"/>
  <sheetViews>
    <sheetView zoomScale="55" zoomScaleNormal="55" workbookViewId="0">
      <selection activeCell="I19" sqref="I19"/>
    </sheetView>
  </sheetViews>
  <sheetFormatPr defaultColWidth="18" defaultRowHeight="28.8" customHeight="1" x14ac:dyDescent="0.3"/>
  <cols>
    <col min="3" max="3" width="25.33203125" customWidth="1"/>
    <col min="4" max="4" width="5.5546875" customWidth="1"/>
    <col min="7" max="7" width="26.109375" customWidth="1"/>
  </cols>
  <sheetData>
    <row r="1" spans="1:7" ht="28.8" customHeight="1" x14ac:dyDescent="0.65">
      <c r="A1" s="26" t="s">
        <v>0</v>
      </c>
      <c r="B1" s="26"/>
      <c r="C1" s="26"/>
      <c r="D1" s="26"/>
      <c r="E1" s="26"/>
      <c r="F1" s="26"/>
      <c r="G1" s="26"/>
    </row>
    <row r="2" spans="1:7" ht="28.8" customHeight="1" x14ac:dyDescent="0.65">
      <c r="A2" s="26" t="s">
        <v>105</v>
      </c>
      <c r="B2" s="26"/>
      <c r="C2" s="26"/>
      <c r="D2" s="26"/>
      <c r="E2" s="26"/>
      <c r="F2" s="26"/>
      <c r="G2" s="26"/>
    </row>
    <row r="3" spans="1:7" ht="28.8" customHeight="1" x14ac:dyDescent="0.45">
      <c r="A3" s="3" t="s">
        <v>1</v>
      </c>
      <c r="B3" s="10" t="s">
        <v>2</v>
      </c>
      <c r="C3" s="10" t="s">
        <v>3</v>
      </c>
      <c r="D3" s="25"/>
      <c r="E3" s="3" t="s">
        <v>1</v>
      </c>
      <c r="F3" s="10" t="s">
        <v>2</v>
      </c>
      <c r="G3" s="10" t="s">
        <v>3</v>
      </c>
    </row>
    <row r="4" spans="1:7" ht="28.8" customHeight="1" x14ac:dyDescent="0.35">
      <c r="A4" s="6" t="s">
        <v>104</v>
      </c>
      <c r="B4" s="11">
        <v>3180</v>
      </c>
      <c r="C4" s="11">
        <v>2426</v>
      </c>
      <c r="D4" s="25"/>
      <c r="E4" s="6" t="s">
        <v>119</v>
      </c>
      <c r="F4" s="13">
        <v>690</v>
      </c>
      <c r="G4" s="12">
        <v>407</v>
      </c>
    </row>
    <row r="5" spans="1:7" ht="28.8" customHeight="1" x14ac:dyDescent="0.35">
      <c r="A5" s="6" t="s">
        <v>106</v>
      </c>
      <c r="B5" s="11">
        <v>1900</v>
      </c>
      <c r="C5" s="11">
        <v>1230</v>
      </c>
      <c r="D5" s="25"/>
      <c r="E5" s="6" t="s">
        <v>120</v>
      </c>
      <c r="F5" s="13">
        <v>1200</v>
      </c>
      <c r="G5" s="12">
        <v>665</v>
      </c>
    </row>
    <row r="6" spans="1:7" ht="28.8" customHeight="1" x14ac:dyDescent="0.35">
      <c r="A6" s="6" t="s">
        <v>107</v>
      </c>
      <c r="B6" s="12">
        <v>1860</v>
      </c>
      <c r="C6" s="12">
        <v>1315</v>
      </c>
      <c r="D6" s="25"/>
      <c r="E6" s="6" t="s">
        <v>121</v>
      </c>
      <c r="F6" s="13">
        <v>415</v>
      </c>
      <c r="G6" s="12">
        <v>253</v>
      </c>
    </row>
    <row r="7" spans="1:7" ht="28.8" customHeight="1" x14ac:dyDescent="0.35">
      <c r="A7" s="6" t="s">
        <v>108</v>
      </c>
      <c r="B7" s="13">
        <v>820</v>
      </c>
      <c r="C7" s="11">
        <v>530</v>
      </c>
      <c r="D7" s="25"/>
      <c r="E7" s="6" t="s">
        <v>122</v>
      </c>
      <c r="F7" s="13">
        <v>1355</v>
      </c>
      <c r="G7" s="12">
        <v>797</v>
      </c>
    </row>
    <row r="8" spans="1:7" ht="28.8" customHeight="1" x14ac:dyDescent="0.35">
      <c r="A8" s="6" t="s">
        <v>109</v>
      </c>
      <c r="B8" s="13">
        <v>1490</v>
      </c>
      <c r="C8" s="12">
        <v>863</v>
      </c>
      <c r="D8" s="25"/>
      <c r="E8" s="6" t="s">
        <v>123</v>
      </c>
      <c r="F8" s="15">
        <v>1430</v>
      </c>
      <c r="G8" s="14">
        <v>896</v>
      </c>
    </row>
    <row r="9" spans="1:7" ht="28.8" customHeight="1" x14ac:dyDescent="0.35">
      <c r="A9" s="6" t="s">
        <v>110</v>
      </c>
      <c r="B9" s="13">
        <v>370</v>
      </c>
      <c r="C9" s="12">
        <v>264</v>
      </c>
      <c r="D9" s="25"/>
      <c r="E9" s="6" t="s">
        <v>124</v>
      </c>
      <c r="F9" s="13">
        <v>1465</v>
      </c>
      <c r="G9" s="14">
        <v>891</v>
      </c>
    </row>
    <row r="10" spans="1:7" ht="28.8" customHeight="1" x14ac:dyDescent="0.35">
      <c r="A10" s="6" t="s">
        <v>111</v>
      </c>
      <c r="B10" s="13">
        <v>1610</v>
      </c>
      <c r="C10" s="14">
        <v>1040</v>
      </c>
      <c r="D10" s="25"/>
      <c r="E10" s="6" t="s">
        <v>125</v>
      </c>
      <c r="F10" s="13">
        <v>585</v>
      </c>
      <c r="G10" s="12">
        <v>363</v>
      </c>
    </row>
    <row r="11" spans="1:7" ht="28.8" customHeight="1" x14ac:dyDescent="0.35">
      <c r="A11" s="6" t="s">
        <v>112</v>
      </c>
      <c r="B11" s="13">
        <v>1710</v>
      </c>
      <c r="C11" s="12">
        <v>946</v>
      </c>
      <c r="D11" s="25"/>
      <c r="E11" s="6" t="s">
        <v>126</v>
      </c>
      <c r="F11" s="13">
        <v>995</v>
      </c>
      <c r="G11" s="12">
        <v>550</v>
      </c>
    </row>
    <row r="12" spans="1:7" ht="28.8" customHeight="1" x14ac:dyDescent="0.35">
      <c r="A12" s="6" t="s">
        <v>113</v>
      </c>
      <c r="B12" s="13">
        <v>0</v>
      </c>
      <c r="C12" s="12">
        <v>0</v>
      </c>
      <c r="D12" s="25"/>
      <c r="E12" s="6" t="s">
        <v>127</v>
      </c>
      <c r="F12" s="13">
        <v>1080</v>
      </c>
      <c r="G12" s="12">
        <v>594</v>
      </c>
    </row>
    <row r="13" spans="1:7" ht="28.8" customHeight="1" x14ac:dyDescent="0.35">
      <c r="A13" s="6" t="s">
        <v>114</v>
      </c>
      <c r="B13" s="13">
        <v>810</v>
      </c>
      <c r="C13" s="12">
        <v>640</v>
      </c>
      <c r="D13" s="25"/>
      <c r="E13" s="6" t="s">
        <v>128</v>
      </c>
      <c r="F13" s="13">
        <v>1145</v>
      </c>
      <c r="G13" s="12">
        <v>748</v>
      </c>
    </row>
    <row r="14" spans="1:7" ht="28.8" customHeight="1" x14ac:dyDescent="0.35">
      <c r="A14" s="6" t="s">
        <v>115</v>
      </c>
      <c r="B14" s="12">
        <v>1720</v>
      </c>
      <c r="C14" s="12">
        <v>1067</v>
      </c>
      <c r="D14" s="25"/>
      <c r="E14" s="6" t="s">
        <v>129</v>
      </c>
      <c r="F14" s="13">
        <v>1010</v>
      </c>
      <c r="G14" s="12">
        <v>879</v>
      </c>
    </row>
    <row r="15" spans="1:7" ht="28.8" customHeight="1" x14ac:dyDescent="0.35">
      <c r="A15" s="6" t="s">
        <v>116</v>
      </c>
      <c r="B15" s="12">
        <v>1510</v>
      </c>
      <c r="C15" s="12">
        <v>1056</v>
      </c>
      <c r="D15" s="25"/>
      <c r="E15" s="6" t="s">
        <v>130</v>
      </c>
      <c r="F15" s="13">
        <v>1110</v>
      </c>
      <c r="G15" s="12">
        <v>627</v>
      </c>
    </row>
    <row r="16" spans="1:7" ht="28.8" customHeight="1" x14ac:dyDescent="0.35">
      <c r="A16" s="6" t="s">
        <v>117</v>
      </c>
      <c r="B16" s="13">
        <v>1570</v>
      </c>
      <c r="C16" s="12">
        <v>1570</v>
      </c>
      <c r="D16" s="25"/>
      <c r="E16" s="6" t="s">
        <v>131</v>
      </c>
      <c r="F16" s="13">
        <v>1810</v>
      </c>
      <c r="G16" s="12">
        <v>1144</v>
      </c>
    </row>
    <row r="17" spans="1:7" ht="28.8" customHeight="1" x14ac:dyDescent="0.35">
      <c r="A17" s="6" t="s">
        <v>118</v>
      </c>
      <c r="B17" s="13">
        <v>1200</v>
      </c>
      <c r="C17" s="12">
        <v>827</v>
      </c>
      <c r="D17" s="25"/>
      <c r="E17" s="6" t="s">
        <v>132</v>
      </c>
      <c r="F17" s="13">
        <v>1820</v>
      </c>
      <c r="G17" s="12">
        <v>858</v>
      </c>
    </row>
    <row r="18" spans="1:7" ht="28.8" customHeight="1" x14ac:dyDescent="0.35">
      <c r="A18" s="6"/>
      <c r="B18" s="13"/>
      <c r="C18" s="12"/>
      <c r="D18" s="25"/>
      <c r="E18" s="6" t="s">
        <v>133</v>
      </c>
      <c r="F18" s="20"/>
      <c r="G18" s="21"/>
    </row>
    <row r="19" spans="1:7" ht="28.8" customHeight="1" x14ac:dyDescent="0.35">
      <c r="A19" s="6"/>
      <c r="B19" s="13"/>
      <c r="C19" s="12"/>
      <c r="D19" s="25"/>
      <c r="E19" s="6" t="s">
        <v>134</v>
      </c>
      <c r="F19" s="13">
        <v>760</v>
      </c>
      <c r="G19" s="12">
        <v>545</v>
      </c>
    </row>
    <row r="20" spans="1:7" ht="28.8" customHeight="1" x14ac:dyDescent="0.35">
      <c r="A20" s="6"/>
      <c r="B20" s="13"/>
      <c r="C20" s="12"/>
      <c r="D20" s="25"/>
      <c r="E20" s="6" t="s">
        <v>136</v>
      </c>
      <c r="F20" s="13">
        <v>1055</v>
      </c>
      <c r="G20" s="14">
        <v>572</v>
      </c>
    </row>
    <row r="21" spans="1:7" ht="28.8" customHeight="1" x14ac:dyDescent="0.35">
      <c r="A21" s="6"/>
      <c r="B21" s="13"/>
      <c r="C21" s="13"/>
      <c r="D21" s="25"/>
      <c r="E21" s="6"/>
      <c r="F21" s="8"/>
      <c r="G21" s="7"/>
    </row>
    <row r="22" spans="1:7" ht="28.8" customHeight="1" x14ac:dyDescent="0.3">
      <c r="A22" s="2"/>
      <c r="B22" s="2"/>
      <c r="C22" s="1"/>
      <c r="D22" s="25"/>
      <c r="E22" s="1"/>
      <c r="F22" s="9"/>
      <c r="G22" s="1"/>
    </row>
    <row r="23" spans="1:7" ht="28.8" customHeight="1" x14ac:dyDescent="0.65">
      <c r="A23" s="4"/>
      <c r="B23" s="4"/>
      <c r="C23" s="5"/>
      <c r="D23" s="25"/>
      <c r="E23" s="1"/>
      <c r="F23" s="9"/>
      <c r="G23" s="1"/>
    </row>
    <row r="24" spans="1:7" ht="28.8" customHeight="1" x14ac:dyDescent="0.3">
      <c r="A24" s="23" t="s">
        <v>4</v>
      </c>
      <c r="B24" s="23"/>
      <c r="C24" s="23"/>
      <c r="D24" s="23"/>
      <c r="E24" s="24">
        <f>SUM(B4:B22,F4:F21)</f>
        <v>37675</v>
      </c>
      <c r="F24" s="24"/>
      <c r="G24" s="24"/>
    </row>
    <row r="25" spans="1:7" ht="28.8" customHeight="1" x14ac:dyDescent="0.3">
      <c r="A25" s="23"/>
      <c r="B25" s="23"/>
      <c r="C25" s="23"/>
      <c r="D25" s="23"/>
      <c r="E25" s="24"/>
      <c r="F25" s="24"/>
      <c r="G25" s="24"/>
    </row>
    <row r="26" spans="1:7" ht="28.8" customHeight="1" x14ac:dyDescent="0.3">
      <c r="A26" s="23" t="s">
        <v>5</v>
      </c>
      <c r="B26" s="23"/>
      <c r="C26" s="23"/>
      <c r="D26" s="23"/>
      <c r="E26" s="24">
        <f>SUM(C4:C22,G4:G21)</f>
        <v>24563</v>
      </c>
      <c r="F26" s="24"/>
      <c r="G26" s="24"/>
    </row>
    <row r="27" spans="1:7" ht="28.8" customHeight="1" x14ac:dyDescent="0.3">
      <c r="A27" s="23"/>
      <c r="B27" s="23"/>
      <c r="C27" s="23"/>
      <c r="D27" s="23"/>
      <c r="E27" s="24"/>
      <c r="F27" s="24"/>
      <c r="G27" s="24"/>
    </row>
  </sheetData>
  <mergeCells count="8">
    <mergeCell ref="A1:G1"/>
    <mergeCell ref="A2:G2"/>
    <mergeCell ref="D3:D23"/>
    <mergeCell ref="A24:C25"/>
    <mergeCell ref="D24:D27"/>
    <mergeCell ref="E24:G25"/>
    <mergeCell ref="A26:C27"/>
    <mergeCell ref="E26:G27"/>
  </mergeCells>
  <pageMargins left="0.7" right="0.7" top="0.75" bottom="0.75" header="0.3" footer="0.3"/>
  <pageSetup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A306E-6700-4988-9820-A4D7648F5275}">
  <dimension ref="A1:G27"/>
  <sheetViews>
    <sheetView zoomScale="55" zoomScaleNormal="55" workbookViewId="0">
      <selection activeCell="E19" sqref="E19"/>
    </sheetView>
  </sheetViews>
  <sheetFormatPr defaultRowHeight="14.4" x14ac:dyDescent="0.3"/>
  <cols>
    <col min="1" max="1" width="17.44140625" customWidth="1"/>
    <col min="2" max="2" width="15.33203125" customWidth="1"/>
    <col min="3" max="3" width="17.6640625" customWidth="1"/>
    <col min="4" max="4" width="6.44140625" customWidth="1"/>
    <col min="5" max="5" width="17.77734375" customWidth="1"/>
    <col min="6" max="6" width="14.5546875" customWidth="1"/>
    <col min="7" max="7" width="21.77734375" customWidth="1"/>
  </cols>
  <sheetData>
    <row r="1" spans="1:7" ht="33.6" x14ac:dyDescent="0.65">
      <c r="A1" s="26" t="s">
        <v>0</v>
      </c>
      <c r="B1" s="26"/>
      <c r="C1" s="26"/>
      <c r="D1" s="26"/>
      <c r="E1" s="26"/>
      <c r="F1" s="26"/>
      <c r="G1" s="26"/>
    </row>
    <row r="2" spans="1:7" ht="33.6" x14ac:dyDescent="0.65">
      <c r="A2" s="26" t="s">
        <v>166</v>
      </c>
      <c r="B2" s="26"/>
      <c r="C2" s="26"/>
      <c r="D2" s="26"/>
      <c r="E2" s="26"/>
      <c r="F2" s="26"/>
      <c r="G2" s="26"/>
    </row>
    <row r="3" spans="1:7" ht="23.4" x14ac:dyDescent="0.45">
      <c r="A3" s="3" t="s">
        <v>1</v>
      </c>
      <c r="B3" s="10" t="s">
        <v>2</v>
      </c>
      <c r="C3" s="10" t="s">
        <v>3</v>
      </c>
      <c r="D3" s="25"/>
      <c r="E3" s="3" t="s">
        <v>1</v>
      </c>
      <c r="F3" s="10" t="s">
        <v>2</v>
      </c>
      <c r="G3" s="10" t="s">
        <v>3</v>
      </c>
    </row>
    <row r="4" spans="1:7" ht="21" x14ac:dyDescent="0.35">
      <c r="A4" s="6" t="s">
        <v>137</v>
      </c>
      <c r="B4" s="11">
        <v>1890</v>
      </c>
      <c r="C4" s="11">
        <v>1056</v>
      </c>
      <c r="D4" s="25"/>
      <c r="E4" s="6" t="s">
        <v>149</v>
      </c>
      <c r="F4" s="13">
        <v>1745</v>
      </c>
      <c r="G4" s="12">
        <v>1000</v>
      </c>
    </row>
    <row r="5" spans="1:7" ht="21" x14ac:dyDescent="0.35">
      <c r="A5" s="6" t="s">
        <v>138</v>
      </c>
      <c r="B5" s="11">
        <v>915</v>
      </c>
      <c r="C5" s="11">
        <v>500</v>
      </c>
      <c r="D5" s="25"/>
      <c r="E5" s="6" t="s">
        <v>150</v>
      </c>
      <c r="F5" s="13">
        <v>1160</v>
      </c>
      <c r="G5" s="12">
        <v>630</v>
      </c>
    </row>
    <row r="6" spans="1:7" ht="21" x14ac:dyDescent="0.35">
      <c r="A6" s="6" t="s">
        <v>139</v>
      </c>
      <c r="B6" s="12">
        <v>1270</v>
      </c>
      <c r="C6" s="12">
        <v>660</v>
      </c>
      <c r="D6" s="25"/>
      <c r="E6" s="6" t="s">
        <v>151</v>
      </c>
      <c r="F6" s="13">
        <v>1365</v>
      </c>
      <c r="G6" s="12">
        <v>790</v>
      </c>
    </row>
    <row r="7" spans="1:7" ht="21" x14ac:dyDescent="0.35">
      <c r="A7" s="6" t="s">
        <v>140</v>
      </c>
      <c r="B7" s="13">
        <v>815</v>
      </c>
      <c r="C7" s="11">
        <v>451</v>
      </c>
      <c r="D7" s="25"/>
      <c r="E7" s="6" t="s">
        <v>152</v>
      </c>
      <c r="F7" s="13">
        <v>1170</v>
      </c>
      <c r="G7" s="12">
        <v>625</v>
      </c>
    </row>
    <row r="8" spans="1:7" ht="21" x14ac:dyDescent="0.35">
      <c r="A8" s="6" t="s">
        <v>141</v>
      </c>
      <c r="B8" s="13">
        <v>1395</v>
      </c>
      <c r="C8" s="12">
        <v>825</v>
      </c>
      <c r="D8" s="25"/>
      <c r="E8" s="6" t="s">
        <v>153</v>
      </c>
      <c r="F8" s="15">
        <v>1565</v>
      </c>
      <c r="G8" s="14">
        <v>925</v>
      </c>
    </row>
    <row r="9" spans="1:7" ht="21" x14ac:dyDescent="0.35">
      <c r="A9" s="6" t="s">
        <v>142</v>
      </c>
      <c r="B9" s="13">
        <v>1325</v>
      </c>
      <c r="C9" s="12">
        <v>759</v>
      </c>
      <c r="D9" s="25"/>
      <c r="E9" s="6" t="s">
        <v>154</v>
      </c>
      <c r="F9" s="13"/>
      <c r="G9" s="14"/>
    </row>
    <row r="10" spans="1:7" ht="21" x14ac:dyDescent="0.35">
      <c r="A10" s="6" t="s">
        <v>143</v>
      </c>
      <c r="B10" s="13">
        <v>830</v>
      </c>
      <c r="C10" s="14">
        <v>478</v>
      </c>
      <c r="D10" s="25"/>
      <c r="E10" s="6" t="s">
        <v>155</v>
      </c>
      <c r="F10" s="13">
        <v>1365</v>
      </c>
      <c r="G10" s="12">
        <v>890</v>
      </c>
    </row>
    <row r="11" spans="1:7" ht="21" x14ac:dyDescent="0.35">
      <c r="A11" s="6" t="s">
        <v>144</v>
      </c>
      <c r="B11" s="13">
        <v>960</v>
      </c>
      <c r="C11" s="12">
        <v>621</v>
      </c>
      <c r="D11" s="25"/>
      <c r="E11" s="6" t="s">
        <v>156</v>
      </c>
      <c r="F11" s="13">
        <v>995</v>
      </c>
      <c r="G11" s="12">
        <v>575</v>
      </c>
    </row>
    <row r="12" spans="1:7" ht="21" x14ac:dyDescent="0.35">
      <c r="A12" s="6" t="s">
        <v>145</v>
      </c>
      <c r="B12" s="13">
        <v>820</v>
      </c>
      <c r="C12" s="12">
        <v>467</v>
      </c>
      <c r="D12" s="25"/>
      <c r="E12" s="6" t="s">
        <v>157</v>
      </c>
      <c r="F12" s="13">
        <v>1710</v>
      </c>
      <c r="G12" s="12">
        <v>1040</v>
      </c>
    </row>
    <row r="13" spans="1:7" ht="21" x14ac:dyDescent="0.35">
      <c r="A13" s="6" t="s">
        <v>146</v>
      </c>
      <c r="B13" s="13">
        <v>1200</v>
      </c>
      <c r="C13" s="12">
        <v>825</v>
      </c>
      <c r="D13" s="25"/>
      <c r="E13" s="6" t="s">
        <v>158</v>
      </c>
      <c r="F13" s="13">
        <v>1595</v>
      </c>
      <c r="G13" s="12">
        <v>1090</v>
      </c>
    </row>
    <row r="14" spans="1:7" ht="21" x14ac:dyDescent="0.35">
      <c r="A14" s="6" t="s">
        <v>147</v>
      </c>
      <c r="B14" s="12">
        <v>1250</v>
      </c>
      <c r="C14" s="12">
        <v>735</v>
      </c>
      <c r="D14" s="25"/>
      <c r="E14" s="6" t="s">
        <v>159</v>
      </c>
      <c r="F14" s="13">
        <v>410</v>
      </c>
      <c r="G14" s="12">
        <v>265</v>
      </c>
    </row>
    <row r="15" spans="1:7" ht="21" x14ac:dyDescent="0.35">
      <c r="A15" s="6" t="s">
        <v>148</v>
      </c>
      <c r="B15" s="12">
        <v>1760</v>
      </c>
      <c r="C15" s="12">
        <v>1310</v>
      </c>
      <c r="D15" s="25"/>
      <c r="E15" s="6" t="s">
        <v>160</v>
      </c>
      <c r="F15" s="13">
        <v>740</v>
      </c>
      <c r="G15" s="12">
        <v>440</v>
      </c>
    </row>
    <row r="16" spans="1:7" ht="21" x14ac:dyDescent="0.35">
      <c r="A16" s="6"/>
      <c r="B16" s="13"/>
      <c r="C16" s="12"/>
      <c r="D16" s="25"/>
      <c r="E16" s="6" t="s">
        <v>161</v>
      </c>
      <c r="F16" s="13">
        <v>1270</v>
      </c>
      <c r="G16" s="12">
        <v>805</v>
      </c>
    </row>
    <row r="17" spans="1:7" ht="21" x14ac:dyDescent="0.35">
      <c r="A17" s="6"/>
      <c r="B17" s="13"/>
      <c r="C17" s="12"/>
      <c r="D17" s="25"/>
      <c r="E17" s="6" t="s">
        <v>162</v>
      </c>
      <c r="F17" s="13">
        <v>1890</v>
      </c>
      <c r="G17" s="12">
        <v>1225</v>
      </c>
    </row>
    <row r="18" spans="1:7" ht="21" x14ac:dyDescent="0.35">
      <c r="A18" s="6"/>
      <c r="B18" s="13"/>
      <c r="C18" s="12"/>
      <c r="D18" s="25"/>
      <c r="E18" s="6" t="s">
        <v>163</v>
      </c>
      <c r="F18" s="20">
        <v>1375</v>
      </c>
      <c r="G18" s="21">
        <v>835</v>
      </c>
    </row>
    <row r="19" spans="1:7" ht="21" x14ac:dyDescent="0.35">
      <c r="A19" s="6"/>
      <c r="B19" s="13"/>
      <c r="C19" s="12"/>
      <c r="D19" s="25"/>
      <c r="E19" s="6" t="s">
        <v>164</v>
      </c>
      <c r="F19" s="13"/>
      <c r="G19" s="12"/>
    </row>
    <row r="20" spans="1:7" ht="21" x14ac:dyDescent="0.35">
      <c r="A20" s="6"/>
      <c r="B20" s="13"/>
      <c r="C20" s="12"/>
      <c r="D20" s="25"/>
      <c r="E20" s="6"/>
      <c r="F20" s="13"/>
      <c r="G20" s="14"/>
    </row>
    <row r="21" spans="1:7" ht="21" x14ac:dyDescent="0.35">
      <c r="A21" s="6"/>
      <c r="B21" s="13"/>
      <c r="C21" s="13"/>
      <c r="D21" s="25"/>
      <c r="E21" s="6"/>
      <c r="F21" s="8"/>
      <c r="G21" s="7"/>
    </row>
    <row r="22" spans="1:7" x14ac:dyDescent="0.3">
      <c r="A22" s="2"/>
      <c r="B22" s="2"/>
      <c r="C22" s="1"/>
      <c r="D22" s="25"/>
      <c r="E22" s="1"/>
      <c r="F22" s="9"/>
      <c r="G22" s="1"/>
    </row>
    <row r="23" spans="1:7" ht="33.6" x14ac:dyDescent="0.65">
      <c r="A23" s="4"/>
      <c r="B23" s="4"/>
      <c r="C23" s="5"/>
      <c r="D23" s="25"/>
      <c r="E23" s="1"/>
      <c r="F23" s="9"/>
      <c r="G23" s="1"/>
    </row>
    <row r="24" spans="1:7" x14ac:dyDescent="0.3">
      <c r="A24" s="23" t="s">
        <v>4</v>
      </c>
      <c r="B24" s="23"/>
      <c r="C24" s="23"/>
      <c r="D24" s="23"/>
      <c r="E24" s="24">
        <f>SUM(B4:B22,F4:F21)</f>
        <v>32785</v>
      </c>
      <c r="F24" s="24"/>
      <c r="G24" s="24"/>
    </row>
    <row r="25" spans="1:7" ht="38.4" customHeight="1" x14ac:dyDescent="0.3">
      <c r="A25" s="23"/>
      <c r="B25" s="23"/>
      <c r="C25" s="23"/>
      <c r="D25" s="23"/>
      <c r="E25" s="24"/>
      <c r="F25" s="24"/>
      <c r="G25" s="24"/>
    </row>
    <row r="26" spans="1:7" x14ac:dyDescent="0.3">
      <c r="A26" s="23" t="s">
        <v>5</v>
      </c>
      <c r="B26" s="23"/>
      <c r="C26" s="23"/>
      <c r="D26" s="23"/>
      <c r="E26" s="24">
        <f>SUM(C4:C22,G4:G21)</f>
        <v>19822</v>
      </c>
      <c r="F26" s="24"/>
      <c r="G26" s="24"/>
    </row>
    <row r="27" spans="1:7" ht="34.799999999999997" customHeight="1" x14ac:dyDescent="0.3">
      <c r="A27" s="23"/>
      <c r="B27" s="23"/>
      <c r="C27" s="23"/>
      <c r="D27" s="23"/>
      <c r="E27" s="24"/>
      <c r="F27" s="24"/>
      <c r="G27" s="24"/>
    </row>
  </sheetData>
  <mergeCells count="8">
    <mergeCell ref="A1:G1"/>
    <mergeCell ref="A2:G2"/>
    <mergeCell ref="D3:D23"/>
    <mergeCell ref="A24:C25"/>
    <mergeCell ref="D24:D27"/>
    <mergeCell ref="E24:G25"/>
    <mergeCell ref="A26:C27"/>
    <mergeCell ref="E26:G27"/>
  </mergeCells>
  <pageMargins left="0.7" right="0.7" top="0.75" bottom="0.75" header="0.3" footer="0.3"/>
  <pageSetup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EDFDE-D664-4DBF-A473-8B19A10E9E8F}">
  <dimension ref="A1:G27"/>
  <sheetViews>
    <sheetView topLeftCell="A21" workbookViewId="0">
      <selection sqref="A1:G27"/>
    </sheetView>
  </sheetViews>
  <sheetFormatPr defaultRowHeight="14.4" x14ac:dyDescent="0.3"/>
  <cols>
    <col min="1" max="1" width="16.77734375" customWidth="1"/>
    <col min="2" max="2" width="15.44140625" customWidth="1"/>
    <col min="3" max="3" width="18.21875" customWidth="1"/>
    <col min="5" max="5" width="14.21875" customWidth="1"/>
    <col min="6" max="6" width="14.77734375" customWidth="1"/>
    <col min="7" max="7" width="18.109375" customWidth="1"/>
  </cols>
  <sheetData>
    <row r="1" spans="1:7" ht="33.6" x14ac:dyDescent="0.65">
      <c r="A1" s="26" t="s">
        <v>0</v>
      </c>
      <c r="B1" s="26"/>
      <c r="C1" s="26"/>
      <c r="D1" s="26"/>
      <c r="E1" s="26"/>
      <c r="F1" s="26"/>
      <c r="G1" s="26"/>
    </row>
    <row r="2" spans="1:7" ht="33.6" x14ac:dyDescent="0.65">
      <c r="A2" s="26" t="s">
        <v>167</v>
      </c>
      <c r="B2" s="26"/>
      <c r="C2" s="26"/>
      <c r="D2" s="26"/>
      <c r="E2" s="26"/>
      <c r="F2" s="26"/>
      <c r="G2" s="26"/>
    </row>
    <row r="3" spans="1:7" ht="23.4" x14ac:dyDescent="0.45">
      <c r="A3" s="3" t="s">
        <v>1</v>
      </c>
      <c r="B3" s="10" t="s">
        <v>2</v>
      </c>
      <c r="C3" s="10" t="s">
        <v>3</v>
      </c>
      <c r="D3" s="25"/>
      <c r="E3" s="3" t="s">
        <v>1</v>
      </c>
      <c r="F3" s="10" t="s">
        <v>2</v>
      </c>
      <c r="G3" s="10" t="s">
        <v>3</v>
      </c>
    </row>
    <row r="4" spans="1:7" ht="21" x14ac:dyDescent="0.35">
      <c r="A4" s="6" t="s">
        <v>165</v>
      </c>
      <c r="B4" s="11">
        <v>1180</v>
      </c>
      <c r="C4" s="11">
        <v>840</v>
      </c>
      <c r="D4" s="25"/>
      <c r="E4" s="6" t="s">
        <v>180</v>
      </c>
      <c r="F4" s="13">
        <v>1210</v>
      </c>
      <c r="G4" s="12">
        <v>835</v>
      </c>
    </row>
    <row r="5" spans="1:7" ht="21" x14ac:dyDescent="0.35">
      <c r="A5" s="6" t="s">
        <v>168</v>
      </c>
      <c r="B5" s="11">
        <v>1785</v>
      </c>
      <c r="C5" s="11">
        <v>1145</v>
      </c>
      <c r="D5" s="25"/>
      <c r="E5" s="6" t="s">
        <v>181</v>
      </c>
      <c r="F5" s="13">
        <v>1055</v>
      </c>
      <c r="G5" s="12">
        <v>820</v>
      </c>
    </row>
    <row r="6" spans="1:7" ht="21" x14ac:dyDescent="0.35">
      <c r="A6" s="6" t="s">
        <v>169</v>
      </c>
      <c r="B6" s="12">
        <v>3060</v>
      </c>
      <c r="C6" s="12">
        <v>1855</v>
      </c>
      <c r="D6" s="25"/>
      <c r="E6" s="6" t="s">
        <v>182</v>
      </c>
      <c r="F6" s="13">
        <v>1065</v>
      </c>
      <c r="G6" s="12">
        <v>910</v>
      </c>
    </row>
    <row r="7" spans="1:7" ht="21" x14ac:dyDescent="0.35">
      <c r="A7" s="6" t="s">
        <v>170</v>
      </c>
      <c r="B7" s="13">
        <v>1145</v>
      </c>
      <c r="C7" s="11">
        <v>780</v>
      </c>
      <c r="D7" s="25"/>
      <c r="E7" s="6" t="s">
        <v>183</v>
      </c>
      <c r="F7" s="13">
        <v>2165</v>
      </c>
      <c r="G7" s="12">
        <v>1200</v>
      </c>
    </row>
    <row r="8" spans="1:7" ht="21" x14ac:dyDescent="0.35">
      <c r="A8" s="6" t="s">
        <v>171</v>
      </c>
      <c r="B8" s="13"/>
      <c r="C8" s="12"/>
      <c r="D8" s="25"/>
      <c r="E8" s="6" t="s">
        <v>184</v>
      </c>
      <c r="F8" s="15">
        <v>1175</v>
      </c>
      <c r="G8" s="14">
        <v>675</v>
      </c>
    </row>
    <row r="9" spans="1:7" ht="21" x14ac:dyDescent="0.35">
      <c r="A9" s="6" t="s">
        <v>172</v>
      </c>
      <c r="B9" s="13">
        <v>1525</v>
      </c>
      <c r="C9" s="12">
        <v>935</v>
      </c>
      <c r="D9" s="25"/>
      <c r="E9" s="6" t="s">
        <v>185</v>
      </c>
      <c r="F9" s="13">
        <v>1615</v>
      </c>
      <c r="G9" s="14">
        <v>1100</v>
      </c>
    </row>
    <row r="10" spans="1:7" ht="21" x14ac:dyDescent="0.35">
      <c r="A10" s="6" t="s">
        <v>173</v>
      </c>
      <c r="B10" s="13">
        <v>630</v>
      </c>
      <c r="C10" s="14">
        <v>265</v>
      </c>
      <c r="D10" s="25"/>
      <c r="E10" s="6" t="s">
        <v>186</v>
      </c>
      <c r="F10" s="13">
        <v>1230</v>
      </c>
      <c r="G10" s="12">
        <v>390</v>
      </c>
    </row>
    <row r="11" spans="1:7" ht="21" x14ac:dyDescent="0.35">
      <c r="A11" s="6" t="s">
        <v>174</v>
      </c>
      <c r="B11" s="13">
        <v>1405</v>
      </c>
      <c r="C11" s="12">
        <v>1040</v>
      </c>
      <c r="D11" s="25"/>
      <c r="E11" s="6" t="s">
        <v>187</v>
      </c>
      <c r="F11" s="13">
        <v>1410</v>
      </c>
      <c r="G11" s="12">
        <v>840</v>
      </c>
    </row>
    <row r="12" spans="1:7" ht="21" x14ac:dyDescent="0.35">
      <c r="A12" s="6" t="s">
        <v>175</v>
      </c>
      <c r="B12" s="13">
        <v>1350</v>
      </c>
      <c r="C12" s="12">
        <v>780</v>
      </c>
      <c r="D12" s="25"/>
      <c r="E12" s="6" t="s">
        <v>188</v>
      </c>
      <c r="F12" s="13">
        <v>1305</v>
      </c>
      <c r="G12" s="12">
        <v>835</v>
      </c>
    </row>
    <row r="13" spans="1:7" ht="21" x14ac:dyDescent="0.35">
      <c r="A13" s="6" t="s">
        <v>176</v>
      </c>
      <c r="B13" s="13">
        <v>1440</v>
      </c>
      <c r="C13" s="12">
        <v>850</v>
      </c>
      <c r="D13" s="25"/>
      <c r="E13" s="6" t="s">
        <v>189</v>
      </c>
      <c r="F13" s="13">
        <v>1195</v>
      </c>
      <c r="G13" s="12">
        <v>805</v>
      </c>
    </row>
    <row r="14" spans="1:7" ht="21" x14ac:dyDescent="0.35">
      <c r="A14" s="6" t="s">
        <v>177</v>
      </c>
      <c r="B14" s="12">
        <v>1740</v>
      </c>
      <c r="C14" s="12">
        <v>1030</v>
      </c>
      <c r="D14" s="25"/>
      <c r="E14" s="6" t="s">
        <v>190</v>
      </c>
      <c r="F14" s="13">
        <v>2005</v>
      </c>
      <c r="G14" s="12">
        <v>2005</v>
      </c>
    </row>
    <row r="15" spans="1:7" ht="21" x14ac:dyDescent="0.35">
      <c r="A15" s="6" t="s">
        <v>178</v>
      </c>
      <c r="B15" s="12">
        <v>1530</v>
      </c>
      <c r="C15" s="12">
        <v>815</v>
      </c>
      <c r="D15" s="25"/>
      <c r="E15" s="6" t="s">
        <v>191</v>
      </c>
      <c r="F15" s="13">
        <v>1350</v>
      </c>
      <c r="G15" s="12">
        <v>690</v>
      </c>
    </row>
    <row r="16" spans="1:7" ht="21" x14ac:dyDescent="0.35">
      <c r="A16" s="6" t="s">
        <v>179</v>
      </c>
      <c r="B16" s="13">
        <v>1580</v>
      </c>
      <c r="C16" s="12">
        <v>1060</v>
      </c>
      <c r="D16" s="25"/>
      <c r="E16" s="6" t="s">
        <v>192</v>
      </c>
      <c r="F16" s="13">
        <v>1190</v>
      </c>
      <c r="G16" s="12">
        <v>530</v>
      </c>
    </row>
    <row r="17" spans="1:7" ht="21" x14ac:dyDescent="0.35">
      <c r="A17" s="6" t="s">
        <v>197</v>
      </c>
      <c r="B17" s="13">
        <v>2195</v>
      </c>
      <c r="C17" s="12">
        <v>1515</v>
      </c>
      <c r="D17" s="25"/>
      <c r="E17" s="6" t="s">
        <v>193</v>
      </c>
      <c r="F17" s="13">
        <v>2105</v>
      </c>
      <c r="G17" s="12">
        <v>1130</v>
      </c>
    </row>
    <row r="18" spans="1:7" ht="21" x14ac:dyDescent="0.35">
      <c r="A18" s="6"/>
      <c r="B18" s="13"/>
      <c r="C18" s="12"/>
      <c r="D18" s="25"/>
      <c r="E18" s="6" t="s">
        <v>194</v>
      </c>
      <c r="F18" s="20">
        <v>400</v>
      </c>
      <c r="G18" s="21">
        <v>230</v>
      </c>
    </row>
    <row r="19" spans="1:7" ht="21" x14ac:dyDescent="0.35">
      <c r="A19" s="6"/>
      <c r="B19" s="13"/>
      <c r="C19" s="12"/>
      <c r="D19" s="25"/>
      <c r="E19" s="6" t="s">
        <v>195</v>
      </c>
      <c r="F19" s="13">
        <v>1820</v>
      </c>
      <c r="G19" s="12">
        <v>1135</v>
      </c>
    </row>
    <row r="20" spans="1:7" ht="21" x14ac:dyDescent="0.35">
      <c r="A20" s="6"/>
      <c r="B20" s="13"/>
      <c r="C20" s="12"/>
      <c r="D20" s="25"/>
      <c r="E20" s="6" t="s">
        <v>196</v>
      </c>
      <c r="F20" s="13">
        <v>1380</v>
      </c>
      <c r="G20" s="14">
        <v>640</v>
      </c>
    </row>
    <row r="21" spans="1:7" ht="21" x14ac:dyDescent="0.35">
      <c r="A21" s="6"/>
      <c r="B21" s="13"/>
      <c r="C21" s="13"/>
      <c r="D21" s="25"/>
      <c r="E21" s="6"/>
      <c r="F21" s="8"/>
      <c r="G21" s="7"/>
    </row>
    <row r="22" spans="1:7" x14ac:dyDescent="0.3">
      <c r="A22" s="2"/>
      <c r="B22" s="2"/>
      <c r="C22" s="1"/>
      <c r="D22" s="25"/>
      <c r="E22" s="1"/>
      <c r="F22" s="9"/>
      <c r="G22" s="1"/>
    </row>
    <row r="23" spans="1:7" ht="33.6" x14ac:dyDescent="0.65">
      <c r="A23" s="4"/>
      <c r="B23" s="4"/>
      <c r="C23" s="5"/>
      <c r="D23" s="25"/>
      <c r="E23" s="1"/>
      <c r="F23" s="9"/>
      <c r="G23" s="1"/>
    </row>
    <row r="24" spans="1:7" x14ac:dyDescent="0.3">
      <c r="A24" s="23" t="s">
        <v>4</v>
      </c>
      <c r="B24" s="23"/>
      <c r="C24" s="23"/>
      <c r="D24" s="23"/>
      <c r="E24" s="24">
        <f>SUM(B4:B22,F4:F21)</f>
        <v>44240</v>
      </c>
      <c r="F24" s="24"/>
      <c r="G24" s="24"/>
    </row>
    <row r="25" spans="1:7" ht="36.6" customHeight="1" x14ac:dyDescent="0.3">
      <c r="A25" s="23"/>
      <c r="B25" s="23"/>
      <c r="C25" s="23"/>
      <c r="D25" s="23"/>
      <c r="E25" s="24"/>
      <c r="F25" s="24"/>
      <c r="G25" s="24"/>
    </row>
    <row r="26" spans="1:7" x14ac:dyDescent="0.3">
      <c r="A26" s="23" t="s">
        <v>5</v>
      </c>
      <c r="B26" s="23"/>
      <c r="C26" s="23"/>
      <c r="D26" s="23"/>
      <c r="E26" s="24">
        <f>SUM(C4:C22,G4:G21)</f>
        <v>27680</v>
      </c>
      <c r="F26" s="24"/>
      <c r="G26" s="24"/>
    </row>
    <row r="27" spans="1:7" ht="36.6" customHeight="1" x14ac:dyDescent="0.3">
      <c r="A27" s="23"/>
      <c r="B27" s="23"/>
      <c r="C27" s="23"/>
      <c r="D27" s="23"/>
      <c r="E27" s="24"/>
      <c r="F27" s="24"/>
      <c r="G27" s="24"/>
    </row>
  </sheetData>
  <mergeCells count="8">
    <mergeCell ref="A1:G1"/>
    <mergeCell ref="A2:G2"/>
    <mergeCell ref="D3:D23"/>
    <mergeCell ref="A24:C25"/>
    <mergeCell ref="D24:D27"/>
    <mergeCell ref="E24:G25"/>
    <mergeCell ref="A26:C27"/>
    <mergeCell ref="E26:G27"/>
  </mergeCells>
  <pageMargins left="0.7" right="0.7" top="0.75" bottom="0.75" header="0.3" footer="0.3"/>
  <pageSetup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0ACB-D6F7-42E0-84D9-18D60E194457}">
  <dimension ref="A1:G27"/>
  <sheetViews>
    <sheetView tabSelected="1" workbookViewId="0">
      <selection activeCell="I6" sqref="I6"/>
    </sheetView>
  </sheetViews>
  <sheetFormatPr defaultRowHeight="14.4" x14ac:dyDescent="0.3"/>
  <cols>
    <col min="1" max="1" width="13.88671875" bestFit="1" customWidth="1"/>
    <col min="2" max="2" width="14.88671875" bestFit="1" customWidth="1"/>
    <col min="3" max="3" width="26" customWidth="1"/>
    <col min="5" max="5" width="13.88671875" bestFit="1" customWidth="1"/>
    <col min="6" max="6" width="14.88671875" bestFit="1" customWidth="1"/>
    <col min="7" max="7" width="18.109375" bestFit="1" customWidth="1"/>
  </cols>
  <sheetData>
    <row r="1" spans="1:7" ht="33.6" x14ac:dyDescent="0.65">
      <c r="A1" s="26" t="s">
        <v>0</v>
      </c>
      <c r="B1" s="26"/>
      <c r="C1" s="26"/>
      <c r="D1" s="26"/>
      <c r="E1" s="26"/>
      <c r="F1" s="26"/>
      <c r="G1" s="26"/>
    </row>
    <row r="2" spans="1:7" ht="33.6" x14ac:dyDescent="0.65">
      <c r="A2" s="26" t="s">
        <v>198</v>
      </c>
      <c r="B2" s="26"/>
      <c r="C2" s="26"/>
      <c r="D2" s="26"/>
      <c r="E2" s="26"/>
      <c r="F2" s="26"/>
      <c r="G2" s="26"/>
    </row>
    <row r="3" spans="1:7" ht="23.4" x14ac:dyDescent="0.45">
      <c r="A3" s="3" t="s">
        <v>1</v>
      </c>
      <c r="B3" s="10" t="s">
        <v>2</v>
      </c>
      <c r="C3" s="10" t="s">
        <v>3</v>
      </c>
      <c r="D3" s="25"/>
      <c r="E3" s="3" t="s">
        <v>1</v>
      </c>
      <c r="F3" s="10" t="s">
        <v>2</v>
      </c>
      <c r="G3" s="10" t="s">
        <v>3</v>
      </c>
    </row>
    <row r="4" spans="1:7" ht="21" x14ac:dyDescent="0.35">
      <c r="A4" s="6" t="s">
        <v>199</v>
      </c>
      <c r="B4" s="11">
        <v>1220</v>
      </c>
      <c r="C4" s="11">
        <v>625</v>
      </c>
      <c r="D4" s="25"/>
      <c r="E4" s="6" t="s">
        <v>213</v>
      </c>
      <c r="F4" s="13"/>
      <c r="G4" s="12"/>
    </row>
    <row r="5" spans="1:7" ht="21" x14ac:dyDescent="0.35">
      <c r="A5" s="6" t="s">
        <v>200</v>
      </c>
      <c r="B5" s="11">
        <v>1370</v>
      </c>
      <c r="C5" s="11">
        <v>880</v>
      </c>
      <c r="D5" s="25"/>
      <c r="E5" s="6" t="s">
        <v>214</v>
      </c>
      <c r="F5" s="13">
        <v>4035</v>
      </c>
      <c r="G5" s="12">
        <v>2200</v>
      </c>
    </row>
    <row r="6" spans="1:7" ht="21" x14ac:dyDescent="0.35">
      <c r="A6" s="6" t="s">
        <v>201</v>
      </c>
      <c r="B6" s="12">
        <v>1430</v>
      </c>
      <c r="C6" s="12">
        <v>710</v>
      </c>
      <c r="D6" s="25"/>
      <c r="E6" s="6" t="s">
        <v>215</v>
      </c>
      <c r="F6" s="13">
        <v>940</v>
      </c>
      <c r="G6" s="12">
        <v>465</v>
      </c>
    </row>
    <row r="7" spans="1:7" ht="21" x14ac:dyDescent="0.35">
      <c r="A7" s="6" t="s">
        <v>202</v>
      </c>
      <c r="B7" s="13">
        <v>1690</v>
      </c>
      <c r="C7" s="11">
        <v>730</v>
      </c>
      <c r="D7" s="25"/>
      <c r="E7" s="6" t="s">
        <v>216</v>
      </c>
      <c r="F7" s="13">
        <v>1475</v>
      </c>
      <c r="G7" s="12">
        <v>1475</v>
      </c>
    </row>
    <row r="8" spans="1:7" ht="21" x14ac:dyDescent="0.35">
      <c r="A8" s="6" t="s">
        <v>203</v>
      </c>
      <c r="B8" s="13">
        <v>1030</v>
      </c>
      <c r="C8" s="12">
        <v>855</v>
      </c>
      <c r="D8" s="25"/>
      <c r="E8" s="6" t="s">
        <v>217</v>
      </c>
      <c r="F8" s="15">
        <v>1050</v>
      </c>
      <c r="G8" s="14">
        <v>625</v>
      </c>
    </row>
    <row r="9" spans="1:7" ht="21" x14ac:dyDescent="0.35">
      <c r="A9" s="6" t="s">
        <v>204</v>
      </c>
      <c r="B9" s="13">
        <v>1220</v>
      </c>
      <c r="C9" s="12">
        <v>855</v>
      </c>
      <c r="D9" s="25"/>
      <c r="E9" s="6" t="s">
        <v>218</v>
      </c>
      <c r="G9" s="14"/>
    </row>
    <row r="10" spans="1:7" ht="21" x14ac:dyDescent="0.35">
      <c r="A10" s="6" t="s">
        <v>205</v>
      </c>
      <c r="B10" s="13">
        <v>895</v>
      </c>
      <c r="C10" s="14">
        <v>650</v>
      </c>
      <c r="D10" s="25"/>
      <c r="E10" s="6" t="s">
        <v>219</v>
      </c>
      <c r="F10" s="13">
        <v>1070</v>
      </c>
      <c r="G10" s="12">
        <v>675</v>
      </c>
    </row>
    <row r="11" spans="1:7" ht="21" x14ac:dyDescent="0.35">
      <c r="A11" s="6" t="s">
        <v>206</v>
      </c>
      <c r="B11" s="13"/>
      <c r="C11" s="12"/>
      <c r="D11" s="25"/>
      <c r="E11" s="6" t="s">
        <v>220</v>
      </c>
      <c r="F11" s="13">
        <v>820</v>
      </c>
      <c r="G11" s="12">
        <v>450</v>
      </c>
    </row>
    <row r="12" spans="1:7" ht="21" x14ac:dyDescent="0.35">
      <c r="A12" s="6" t="s">
        <v>207</v>
      </c>
      <c r="B12" s="13">
        <v>1150</v>
      </c>
      <c r="C12" s="12">
        <v>655</v>
      </c>
      <c r="D12" s="25"/>
      <c r="E12" s="6" t="s">
        <v>221</v>
      </c>
      <c r="F12" s="13">
        <v>960</v>
      </c>
      <c r="G12" s="12">
        <v>735</v>
      </c>
    </row>
    <row r="13" spans="1:7" ht="21" x14ac:dyDescent="0.35">
      <c r="A13" s="6" t="s">
        <v>208</v>
      </c>
      <c r="B13" s="13">
        <v>2240</v>
      </c>
      <c r="C13" s="12">
        <v>1080</v>
      </c>
      <c r="D13" s="25"/>
      <c r="E13" s="6" t="s">
        <v>222</v>
      </c>
      <c r="F13" s="13">
        <v>1810</v>
      </c>
      <c r="G13" s="12">
        <v>1055</v>
      </c>
    </row>
    <row r="14" spans="1:7" ht="21" x14ac:dyDescent="0.35">
      <c r="A14" s="6" t="s">
        <v>209</v>
      </c>
      <c r="B14" s="12">
        <v>1165</v>
      </c>
      <c r="C14" s="12">
        <v>520</v>
      </c>
      <c r="D14" s="25"/>
      <c r="E14" s="6" t="s">
        <v>223</v>
      </c>
      <c r="F14" s="13"/>
      <c r="G14" s="12"/>
    </row>
    <row r="15" spans="1:7" ht="21" x14ac:dyDescent="0.35">
      <c r="A15" s="6" t="s">
        <v>210</v>
      </c>
      <c r="B15" s="12">
        <v>1830</v>
      </c>
      <c r="C15" s="12">
        <v>1290</v>
      </c>
      <c r="D15" s="25"/>
      <c r="E15" s="6" t="s">
        <v>224</v>
      </c>
      <c r="F15" s="13">
        <v>620</v>
      </c>
      <c r="G15" s="12">
        <v>430</v>
      </c>
    </row>
    <row r="16" spans="1:7" ht="21" x14ac:dyDescent="0.35">
      <c r="A16" s="6" t="s">
        <v>211</v>
      </c>
      <c r="B16" s="13">
        <v>1810</v>
      </c>
      <c r="C16" s="12">
        <v>1110</v>
      </c>
      <c r="D16" s="25"/>
      <c r="E16" s="6" t="s">
        <v>225</v>
      </c>
      <c r="F16" s="13">
        <v>240</v>
      </c>
      <c r="G16" s="12">
        <v>205</v>
      </c>
    </row>
    <row r="17" spans="1:7" ht="21" x14ac:dyDescent="0.35">
      <c r="A17" s="6" t="s">
        <v>212</v>
      </c>
      <c r="B17" s="13">
        <v>1080</v>
      </c>
      <c r="C17" s="12">
        <v>575</v>
      </c>
      <c r="D17" s="25"/>
      <c r="E17" s="6" t="s">
        <v>226</v>
      </c>
      <c r="F17" s="13">
        <v>845</v>
      </c>
      <c r="G17" s="12">
        <v>710</v>
      </c>
    </row>
    <row r="18" spans="1:7" ht="21" x14ac:dyDescent="0.35">
      <c r="A18" s="6"/>
      <c r="B18" s="13"/>
      <c r="C18" s="12"/>
      <c r="D18" s="25"/>
      <c r="E18" s="6" t="s">
        <v>227</v>
      </c>
      <c r="F18" s="20">
        <v>610</v>
      </c>
      <c r="G18" s="21">
        <v>425</v>
      </c>
    </row>
    <row r="19" spans="1:7" ht="21" x14ac:dyDescent="0.35">
      <c r="A19" s="6"/>
      <c r="B19" s="13"/>
      <c r="C19" s="12"/>
      <c r="D19" s="25"/>
      <c r="E19" s="6" t="s">
        <v>228</v>
      </c>
      <c r="F19" s="13">
        <v>1320</v>
      </c>
      <c r="G19" s="12">
        <v>975</v>
      </c>
    </row>
    <row r="20" spans="1:7" ht="21" x14ac:dyDescent="0.35">
      <c r="A20" s="6"/>
      <c r="B20" s="13"/>
      <c r="C20" s="12"/>
      <c r="D20" s="25"/>
      <c r="E20" s="6" t="s">
        <v>229</v>
      </c>
      <c r="F20" s="13">
        <v>1585</v>
      </c>
      <c r="G20" s="14">
        <v>940</v>
      </c>
    </row>
    <row r="21" spans="1:7" ht="21" x14ac:dyDescent="0.35">
      <c r="A21" s="6"/>
      <c r="B21" s="13"/>
      <c r="C21" s="13"/>
      <c r="D21" s="25"/>
      <c r="E21" s="6"/>
      <c r="F21" s="8" t="s">
        <v>230</v>
      </c>
      <c r="G21" s="7"/>
    </row>
    <row r="22" spans="1:7" x14ac:dyDescent="0.3">
      <c r="A22" s="2"/>
      <c r="B22" s="2"/>
      <c r="C22" s="1"/>
      <c r="D22" s="25"/>
      <c r="E22" s="1"/>
      <c r="F22" s="9"/>
      <c r="G22" s="1"/>
    </row>
    <row r="23" spans="1:7" ht="33.6" x14ac:dyDescent="0.65">
      <c r="A23" s="4"/>
      <c r="B23" s="4"/>
      <c r="C23" s="5"/>
      <c r="D23" s="25"/>
      <c r="E23" s="1"/>
      <c r="F23" s="9"/>
      <c r="G23" s="1"/>
    </row>
    <row r="24" spans="1:7" x14ac:dyDescent="0.3">
      <c r="A24" s="23" t="s">
        <v>4</v>
      </c>
      <c r="B24" s="23"/>
      <c r="C24" s="23"/>
      <c r="D24" s="23"/>
      <c r="E24" s="24">
        <f>SUM(B4:B22,F4:F21)</f>
        <v>35510</v>
      </c>
      <c r="F24" s="24"/>
      <c r="G24" s="24"/>
    </row>
    <row r="25" spans="1:7" ht="41.4" customHeight="1" x14ac:dyDescent="0.3">
      <c r="A25" s="23"/>
      <c r="B25" s="23"/>
      <c r="C25" s="23"/>
      <c r="D25" s="23"/>
      <c r="E25" s="24"/>
      <c r="F25" s="24"/>
      <c r="G25" s="24"/>
    </row>
    <row r="26" spans="1:7" x14ac:dyDescent="0.3">
      <c r="A26" s="23" t="s">
        <v>5</v>
      </c>
      <c r="B26" s="23"/>
      <c r="C26" s="23"/>
      <c r="D26" s="23"/>
      <c r="E26" s="24">
        <f>SUM(C4:C22,G4:G21)</f>
        <v>21900</v>
      </c>
      <c r="F26" s="24"/>
      <c r="G26" s="24"/>
    </row>
    <row r="27" spans="1:7" ht="38.4" customHeight="1" x14ac:dyDescent="0.3">
      <c r="A27" s="23"/>
      <c r="B27" s="23"/>
      <c r="C27" s="23"/>
      <c r="D27" s="23"/>
      <c r="E27" s="24"/>
      <c r="F27" s="24"/>
      <c r="G27" s="24"/>
    </row>
  </sheetData>
  <mergeCells count="8">
    <mergeCell ref="A1:G1"/>
    <mergeCell ref="A2:G2"/>
    <mergeCell ref="D3:D23"/>
    <mergeCell ref="A24:C25"/>
    <mergeCell ref="D24:D27"/>
    <mergeCell ref="E24:G25"/>
    <mergeCell ref="A26:C27"/>
    <mergeCell ref="E26:G27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2026-05-04T01:26:20Z</cp:lastPrinted>
  <dcterms:created xsi:type="dcterms:W3CDTF">2023-10-05T00:22:47Z</dcterms:created>
  <dcterms:modified xsi:type="dcterms:W3CDTF">2026-05-04T01:26:33Z</dcterms:modified>
</cp:coreProperties>
</file>