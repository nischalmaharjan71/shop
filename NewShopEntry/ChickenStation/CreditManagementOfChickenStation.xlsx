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ickenStation\"/>
    </mc:Choice>
  </mc:AlternateContent>
  <xr:revisionPtr revIDLastSave="0" documentId="13_ncr:1_{182B70CF-EBF4-4D62-8E85-B77464E6213B}" xr6:coauthVersionLast="36" xr6:coauthVersionMax="36" xr10:uidLastSave="{00000000-0000-0000-0000-000000000000}"/>
  <bookViews>
    <workbookView xWindow="0" yWindow="0" windowWidth="23040" windowHeight="9060" activeTab="8" xr2:uid="{11B51453-E16A-4D9E-A0FF-15700BE4898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12" r:id="rId9"/>
    <sheet name="Sheet10" sheetId="1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2" l="1"/>
  <c r="G7" i="12" s="1"/>
  <c r="G8" i="12" s="1"/>
  <c r="G9" i="12" s="1"/>
  <c r="G10" i="12" s="1"/>
  <c r="G11" i="12" s="1"/>
  <c r="G12" i="12" s="1"/>
  <c r="G13" i="12" s="1"/>
  <c r="G14" i="12" s="1"/>
  <c r="G15" i="12" s="1"/>
  <c r="G5" i="12"/>
  <c r="E8" i="12"/>
  <c r="E9" i="12"/>
  <c r="E10" i="12"/>
  <c r="E11" i="12"/>
  <c r="E13" i="12"/>
  <c r="E14" i="12"/>
  <c r="E15" i="12"/>
  <c r="G23" i="8"/>
  <c r="G22" i="8"/>
  <c r="E22" i="8"/>
  <c r="F23" i="13" l="1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6" i="13"/>
  <c r="E5" i="13"/>
  <c r="E23" i="13" s="1"/>
  <c r="G23" i="13" s="1"/>
  <c r="G4" i="13"/>
  <c r="F25" i="12"/>
  <c r="E6" i="12"/>
  <c r="E5" i="12"/>
  <c r="G4" i="12"/>
  <c r="G5" i="13" l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E25" i="12"/>
  <c r="G25" i="12" s="1"/>
  <c r="E21" i="8"/>
  <c r="E20" i="8"/>
  <c r="E19" i="8"/>
  <c r="G9" i="8" l="1"/>
  <c r="G10" i="8" s="1"/>
  <c r="G11" i="8" s="1"/>
  <c r="G12" i="8" s="1"/>
  <c r="G13" i="8" s="1"/>
  <c r="G14" i="8" s="1"/>
  <c r="G15" i="8" s="1"/>
  <c r="G16" i="8" s="1"/>
  <c r="G8" i="8"/>
  <c r="G4" i="8"/>
  <c r="E8" i="8" l="1"/>
  <c r="E6" i="8"/>
  <c r="E9" i="8"/>
  <c r="E10" i="8"/>
  <c r="E11" i="8"/>
  <c r="E12" i="8"/>
  <c r="E13" i="8"/>
  <c r="E14" i="8"/>
  <c r="E15" i="8"/>
  <c r="E16" i="8"/>
  <c r="E17" i="8"/>
  <c r="G17" i="8" s="1"/>
  <c r="E18" i="8"/>
  <c r="G9" i="7"/>
  <c r="G10" i="7" s="1"/>
  <c r="F23" i="8"/>
  <c r="E5" i="8"/>
  <c r="F23" i="7"/>
  <c r="E13" i="7"/>
  <c r="E23" i="7" s="1"/>
  <c r="E12" i="7"/>
  <c r="E11" i="7"/>
  <c r="E10" i="7"/>
  <c r="E8" i="7"/>
  <c r="E6" i="7"/>
  <c r="E5" i="7"/>
  <c r="G5" i="7" s="1"/>
  <c r="G18" i="8" l="1"/>
  <c r="G19" i="8" s="1"/>
  <c r="G20" i="8" s="1"/>
  <c r="G21" i="8" s="1"/>
  <c r="E23" i="8"/>
  <c r="G23" i="7"/>
  <c r="G6" i="7"/>
  <c r="G7" i="7" s="1"/>
  <c r="G8" i="7" s="1"/>
  <c r="G11" i="7" s="1"/>
  <c r="G12" i="7" s="1"/>
  <c r="G13" i="7" s="1"/>
  <c r="G5" i="8"/>
  <c r="G6" i="8" s="1"/>
  <c r="G7" i="8" s="1"/>
  <c r="F23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23" i="6" l="1"/>
  <c r="G23" i="6" s="1"/>
  <c r="G5" i="6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F23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3" i="5" l="1"/>
  <c r="G23" i="5" s="1"/>
  <c r="G5" i="5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5" i="4"/>
  <c r="G6" i="4" s="1"/>
  <c r="G7" i="4" s="1"/>
  <c r="G8" i="4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5" i="4"/>
  <c r="G9" i="4" l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23" i="4"/>
  <c r="E23" i="4"/>
  <c r="G23" i="4" s="1"/>
  <c r="G5" i="3" l="1"/>
  <c r="G6" i="3" s="1"/>
  <c r="G7" i="3" s="1"/>
  <c r="G8" i="3" s="1"/>
  <c r="G9" i="3" s="1"/>
  <c r="G10" i="3" s="1"/>
  <c r="G11" i="3" s="1"/>
  <c r="E6" i="3" l="1"/>
  <c r="E7" i="3"/>
  <c r="E8" i="3"/>
  <c r="E9" i="3"/>
  <c r="E10" i="3"/>
  <c r="E11" i="3"/>
  <c r="E12" i="3"/>
  <c r="G12" i="3" s="1"/>
  <c r="G13" i="3" s="1"/>
  <c r="G14" i="3" s="1"/>
  <c r="G15" i="3" s="1"/>
  <c r="G16" i="3" s="1"/>
  <c r="G17" i="3" s="1"/>
  <c r="E13" i="3"/>
  <c r="E14" i="3"/>
  <c r="E15" i="3"/>
  <c r="E16" i="3"/>
  <c r="E17" i="3"/>
  <c r="E18" i="3"/>
  <c r="E19" i="3"/>
  <c r="E20" i="3"/>
  <c r="E21" i="3"/>
  <c r="E5" i="3"/>
  <c r="F23" i="3"/>
  <c r="G19" i="2"/>
  <c r="G20" i="2"/>
  <c r="G21" i="2" s="1"/>
  <c r="E22" i="2"/>
  <c r="G18" i="3" l="1"/>
  <c r="G19" i="3" s="1"/>
  <c r="G20" i="3" s="1"/>
  <c r="G21" i="3" s="1"/>
  <c r="G22" i="2"/>
  <c r="E23" i="3"/>
  <c r="G23" i="3" s="1"/>
  <c r="E18" i="2"/>
  <c r="E19" i="2"/>
  <c r="E20" i="2"/>
  <c r="E21" i="2"/>
  <c r="E17" i="2" l="1"/>
  <c r="E16" i="2" l="1"/>
  <c r="G19" i="1"/>
  <c r="E5" i="2"/>
  <c r="G5" i="2" s="1"/>
  <c r="E6" i="2"/>
  <c r="E7" i="2"/>
  <c r="E8" i="2"/>
  <c r="E9" i="2"/>
  <c r="E10" i="2"/>
  <c r="E11" i="2"/>
  <c r="E12" i="2"/>
  <c r="E13" i="2"/>
  <c r="E14" i="2"/>
  <c r="E15" i="2"/>
  <c r="F23" i="2"/>
  <c r="F19" i="1"/>
  <c r="E19" i="1"/>
  <c r="E4" i="1"/>
  <c r="G4" i="1"/>
  <c r="G5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E23" i="2"/>
  <c r="G23" i="2" s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6" i="2" l="1"/>
  <c r="G17" i="2" s="1"/>
  <c r="G18" i="2" s="1"/>
</calcChain>
</file>

<file path=xl/sharedStrings.xml><?xml version="1.0" encoding="utf-8"?>
<sst xmlns="http://schemas.openxmlformats.org/spreadsheetml/2006/main" count="366" uniqueCount="146">
  <si>
    <t>Date</t>
  </si>
  <si>
    <t>Amount</t>
  </si>
  <si>
    <t>AmountPaid</t>
  </si>
  <si>
    <t>Balance Amount</t>
  </si>
  <si>
    <t xml:space="preserve"> 2080/09/06</t>
  </si>
  <si>
    <t xml:space="preserve"> 2080/09/07</t>
  </si>
  <si>
    <t xml:space="preserve"> 2080/09/08</t>
  </si>
  <si>
    <t xml:space="preserve"> 2080/09/14</t>
  </si>
  <si>
    <t xml:space="preserve"> 2080/09/15</t>
  </si>
  <si>
    <t xml:space="preserve"> 2080/09/16</t>
  </si>
  <si>
    <t xml:space="preserve"> 2080/09/19</t>
  </si>
  <si>
    <t xml:space="preserve"> 2080/09/24</t>
  </si>
  <si>
    <t>Gas</t>
  </si>
  <si>
    <t>Rate</t>
  </si>
  <si>
    <t>GuestRice</t>
  </si>
  <si>
    <t>Paid Cash</t>
  </si>
  <si>
    <t>Maida</t>
  </si>
  <si>
    <t>StaffRice</t>
  </si>
  <si>
    <t>DueBill</t>
  </si>
  <si>
    <t>Paid By Cheque</t>
  </si>
  <si>
    <t xml:space="preserve"> 2080/09/29</t>
  </si>
  <si>
    <t xml:space="preserve"> 2080/09/28</t>
  </si>
  <si>
    <t>Balance For Poush</t>
  </si>
  <si>
    <t>Qty</t>
  </si>
  <si>
    <t>For the Month Poush,2080</t>
  </si>
  <si>
    <t>For the Month Magh,2080</t>
  </si>
  <si>
    <t xml:space="preserve"> 2080/10/01</t>
  </si>
  <si>
    <t xml:space="preserve"> 2080/10/02</t>
  </si>
  <si>
    <t xml:space="preserve"> 2080/10/06</t>
  </si>
  <si>
    <t xml:space="preserve"> 2080/10/09</t>
  </si>
  <si>
    <t xml:space="preserve"> 2080/10/10</t>
  </si>
  <si>
    <t xml:space="preserve"> 2080/10/14</t>
  </si>
  <si>
    <t xml:space="preserve"> 2080/10/17</t>
  </si>
  <si>
    <t>Balance For Magh</t>
  </si>
  <si>
    <t xml:space="preserve"> 2080/10/18</t>
  </si>
  <si>
    <t>Cheque</t>
  </si>
  <si>
    <t>Chicken Station</t>
  </si>
  <si>
    <t xml:space="preserve"> 2080/10/20</t>
  </si>
  <si>
    <t xml:space="preserve"> 2080/10/24</t>
  </si>
  <si>
    <t>gas</t>
  </si>
  <si>
    <t xml:space="preserve"> 2080/10/29</t>
  </si>
  <si>
    <t>For the Month Falgun,2080</t>
  </si>
  <si>
    <t xml:space="preserve"> 2080/11/01</t>
  </si>
  <si>
    <t>Particulars</t>
  </si>
  <si>
    <t xml:space="preserve"> 2080/11/02</t>
  </si>
  <si>
    <t>Guest Rice</t>
  </si>
  <si>
    <t>Staff Rice</t>
  </si>
  <si>
    <t xml:space="preserve"> 2080/11/03</t>
  </si>
  <si>
    <t xml:space="preserve"> 2080/11/04</t>
  </si>
  <si>
    <t xml:space="preserve"> 2080/11/11</t>
  </si>
  <si>
    <t xml:space="preserve"> 2080/11/13</t>
  </si>
  <si>
    <t xml:space="preserve"> 2080/11/17</t>
  </si>
  <si>
    <t xml:space="preserve"> 2080/11/18</t>
  </si>
  <si>
    <t>Cash</t>
  </si>
  <si>
    <t xml:space="preserve"> 2080/11/24</t>
  </si>
  <si>
    <t xml:space="preserve"> 2080/11/25</t>
  </si>
  <si>
    <t xml:space="preserve"> 2080/11/26</t>
  </si>
  <si>
    <t xml:space="preserve"> 2080/11/29</t>
  </si>
  <si>
    <t>For the Month Chaitra,2080</t>
  </si>
  <si>
    <t xml:space="preserve">  2080/12/02</t>
  </si>
  <si>
    <t xml:space="preserve">  2080/12/09</t>
  </si>
  <si>
    <t xml:space="preserve">  2080/12/11</t>
  </si>
  <si>
    <t xml:space="preserve">  2080/12/12</t>
  </si>
  <si>
    <t>GAS</t>
  </si>
  <si>
    <t xml:space="preserve">  2080/12/16</t>
  </si>
  <si>
    <t xml:space="preserve">  2080/12/17</t>
  </si>
  <si>
    <t xml:space="preserve">  2080/12/23</t>
  </si>
  <si>
    <t xml:space="preserve">  2080/12/24</t>
  </si>
  <si>
    <t xml:space="preserve">  2080/12/27</t>
  </si>
  <si>
    <t xml:space="preserve">  2080/12/28</t>
  </si>
  <si>
    <t xml:space="preserve">  2080/12/30</t>
  </si>
  <si>
    <t>Balance For Falgun</t>
  </si>
  <si>
    <t>Balance For Chaitra</t>
  </si>
  <si>
    <t>For the Month Baishak,2081</t>
  </si>
  <si>
    <t xml:space="preserve">  2081/01/05</t>
  </si>
  <si>
    <t xml:space="preserve">  2081/01/07</t>
  </si>
  <si>
    <t xml:space="preserve">  2081/01/10</t>
  </si>
  <si>
    <t xml:space="preserve">  2081/01/14</t>
  </si>
  <si>
    <t xml:space="preserve">  2081/01/15</t>
  </si>
  <si>
    <t xml:space="preserve">  2081/01/17</t>
  </si>
  <si>
    <t xml:space="preserve">  2081/01/21</t>
  </si>
  <si>
    <t xml:space="preserve">  2081/01/24</t>
  </si>
  <si>
    <t xml:space="preserve">  2081/01/25</t>
  </si>
  <si>
    <t xml:space="preserve">  2081/01/31</t>
  </si>
  <si>
    <t>For the Month Jestha,2081</t>
  </si>
  <si>
    <t xml:space="preserve">  2081/02/01</t>
  </si>
  <si>
    <t>Balance For Baishak</t>
  </si>
  <si>
    <t xml:space="preserve">  2081/02/05</t>
  </si>
  <si>
    <t xml:space="preserve">  2081/02/06</t>
  </si>
  <si>
    <t xml:space="preserve">  2081/02/11</t>
  </si>
  <si>
    <t xml:space="preserve">  2081/02/13</t>
  </si>
  <si>
    <t xml:space="preserve">  2081/02/16</t>
  </si>
  <si>
    <t xml:space="preserve">  2081/02/19</t>
  </si>
  <si>
    <t>Balance For Jestha</t>
  </si>
  <si>
    <t xml:space="preserve">  2081/02/21</t>
  </si>
  <si>
    <t>CASH</t>
  </si>
  <si>
    <t xml:space="preserve">  2081/02/27</t>
  </si>
  <si>
    <t xml:space="preserve">  2081/02/31</t>
  </si>
  <si>
    <t>RICE</t>
  </si>
  <si>
    <t>For the Month Ashad,2081</t>
  </si>
  <si>
    <t xml:space="preserve">  2081/03/02</t>
  </si>
  <si>
    <t xml:space="preserve">  2081/03/03</t>
  </si>
  <si>
    <t xml:space="preserve">  2081/03/18</t>
  </si>
  <si>
    <t xml:space="preserve">  2081/03/19</t>
  </si>
  <si>
    <t xml:space="preserve">  2081/03/26</t>
  </si>
  <si>
    <t>Rice</t>
  </si>
  <si>
    <t xml:space="preserve">  2081/03/27</t>
  </si>
  <si>
    <t xml:space="preserve">  2081/03/29</t>
  </si>
  <si>
    <t xml:space="preserve">  2081/03/23</t>
  </si>
  <si>
    <t xml:space="preserve">  2081/04/06</t>
  </si>
  <si>
    <t xml:space="preserve">  2081/04/07</t>
  </si>
  <si>
    <t xml:space="preserve">  2081/04/11</t>
  </si>
  <si>
    <t xml:space="preserve">  2081/04/17</t>
  </si>
  <si>
    <t xml:space="preserve">  2081/04/21</t>
  </si>
  <si>
    <t xml:space="preserve">  2081/04/26</t>
  </si>
  <si>
    <t>For the Month Shrawan,Bhadra,2081</t>
  </si>
  <si>
    <t xml:space="preserve">  2081/04/28</t>
  </si>
  <si>
    <t xml:space="preserve">  2081/05/01</t>
  </si>
  <si>
    <t xml:space="preserve">  2081/05/05</t>
  </si>
  <si>
    <t xml:space="preserve">  2081/05/09</t>
  </si>
  <si>
    <t>FONEPAY</t>
  </si>
  <si>
    <t>Cash(FONEPAY)</t>
  </si>
  <si>
    <t xml:space="preserve">  2081/05/10</t>
  </si>
  <si>
    <t xml:space="preserve">  2081/05/15</t>
  </si>
  <si>
    <t>Balance For Ashad</t>
  </si>
  <si>
    <t xml:space="preserve">  2081/05/18</t>
  </si>
  <si>
    <t xml:space="preserve">  2081/05/23</t>
  </si>
  <si>
    <t xml:space="preserve">  2081/05/26</t>
  </si>
  <si>
    <t xml:space="preserve">Balance For Shrawan,Bhadra </t>
  </si>
  <si>
    <t>For the Month Ashoj,2081</t>
  </si>
  <si>
    <t>For the Month Kartik,2081</t>
  </si>
  <si>
    <t xml:space="preserve">  2081/05/29</t>
  </si>
  <si>
    <t xml:space="preserve"> 2081/06/03</t>
  </si>
  <si>
    <t xml:space="preserve"> 2081/06/06</t>
  </si>
  <si>
    <t xml:space="preserve"> 2081/06/07</t>
  </si>
  <si>
    <t xml:space="preserve"> 2081/06/12</t>
  </si>
  <si>
    <t xml:space="preserve"> 2081/06/17</t>
  </si>
  <si>
    <t xml:space="preserve"> 2081/06/18</t>
  </si>
  <si>
    <t xml:space="preserve"> 2081/06/22</t>
  </si>
  <si>
    <t xml:space="preserve"> 2081/06/23</t>
  </si>
  <si>
    <t xml:space="preserve"> 2081/07/02</t>
  </si>
  <si>
    <t>Esewa</t>
  </si>
  <si>
    <t xml:space="preserve"> 2081/06/20</t>
  </si>
  <si>
    <t>25th dec 2024</t>
  </si>
  <si>
    <t>27th jan 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</si>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</sst>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1" xfId="0" applyBorder="1"/>
    <xf numFmtId="0" fontId="3" fillId="0" borderId="1" xfId="0" applyFont="1" applyBorder="1" applyAlignment="1"/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Fill="1" applyBorder="1" applyAlignment="1"/>
    <xf numFmtId="0" fontId="4" fillId="0" borderId="1" xfId="0" applyFont="1" applyBorder="1"/>
    <xf numFmtId="0" fontId="4" fillId="0" borderId="1" xfId="0" applyFont="1" applyFill="1" applyBorder="1"/>
    <xf numFmtId="0" fontId="3" fillId="2" borderId="1" xfId="0" applyFont="1" applyFill="1" applyBorder="1" applyAlignment="1"/>
    <xf numFmtId="0" fontId="3" fillId="3" borderId="1" xfId="0" applyFont="1" applyFill="1" applyBorder="1"/>
    <xf numFmtId="0" fontId="3" fillId="3" borderId="1" xfId="0" applyFont="1" applyFill="1" applyBorder="1" applyAlignment="1"/>
    <xf numFmtId="0" fontId="3" fillId="4" borderId="1" xfId="0" applyFont="1" applyFill="1" applyBorder="1"/>
    <xf numFmtId="0" fontId="3" fillId="4" borderId="1" xfId="0" applyFont="1" applyFill="1" applyBorder="1" applyAlignment="1"/>
    <xf numFmtId="0" fontId="3" fillId="0" borderId="1" xfId="0" applyFont="1" applyFill="1" applyBorder="1"/>
    <xf numFmtId="0" fontId="3" fillId="0" borderId="1" xfId="0" applyFont="1" applyFill="1" applyBorder="1" applyAlignment="1"/>
    <xf numFmtId="0" fontId="0" fillId="0" borderId="1" xfId="0" applyFill="1" applyBorder="1"/>
    <xf numFmtId="14" fontId="3" fillId="0" borderId="1" xfId="0" applyNumberFormat="1" applyFont="1" applyBorder="1"/>
    <xf numFmtId="0" fontId="3" fillId="0" borderId="5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B454-FA71-47A0-853D-4D4F60D983E3}">
  <dimension ref="A1:G19"/>
  <sheetViews>
    <sheetView workbookViewId="0">
      <selection activeCell="E10" sqref="E10"/>
    </sheetView>
  </sheetViews>
  <sheetFormatPr defaultRowHeight="14.4" x14ac:dyDescent="0.3"/>
  <cols>
    <col min="1" max="2" width="23.88671875" customWidth="1"/>
    <col min="3" max="3" width="10.109375" customWidth="1"/>
    <col min="4" max="4" width="10.44140625" customWidth="1"/>
    <col min="5" max="5" width="16.77734375" customWidth="1"/>
    <col min="6" max="6" width="19.77734375" customWidth="1"/>
    <col min="7" max="7" width="27.109375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24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f>39600</f>
        <v>39600</v>
      </c>
      <c r="F4" s="4"/>
      <c r="G4" s="5">
        <f>39600</f>
        <v>39600</v>
      </c>
    </row>
    <row r="5" spans="1:7" ht="15.6" x14ac:dyDescent="0.3">
      <c r="A5" s="5" t="s">
        <v>4</v>
      </c>
      <c r="B5" s="5" t="s">
        <v>12</v>
      </c>
      <c r="C5" s="5">
        <v>1</v>
      </c>
      <c r="D5" s="5">
        <v>2000</v>
      </c>
      <c r="E5" s="4">
        <f t="shared" ref="E5:E17" si="0">C5*D5</f>
        <v>2000</v>
      </c>
      <c r="F5" s="5"/>
      <c r="G5" s="5">
        <f>G4+E5-F5</f>
        <v>41600</v>
      </c>
    </row>
    <row r="6" spans="1:7" ht="15.6" x14ac:dyDescent="0.3">
      <c r="A6" s="5" t="s">
        <v>4</v>
      </c>
      <c r="B6" s="5" t="s">
        <v>14</v>
      </c>
      <c r="C6" s="5">
        <v>1</v>
      </c>
      <c r="D6" s="5">
        <v>3400</v>
      </c>
      <c r="E6" s="4">
        <f t="shared" si="0"/>
        <v>3400</v>
      </c>
      <c r="F6" s="5"/>
      <c r="G6" s="5">
        <f t="shared" ref="G6:G17" si="1">G5+E6-F6</f>
        <v>45000</v>
      </c>
    </row>
    <row r="7" spans="1:7" ht="15.6" x14ac:dyDescent="0.3">
      <c r="A7" s="5" t="s">
        <v>5</v>
      </c>
      <c r="B7" s="5" t="s">
        <v>12</v>
      </c>
      <c r="C7" s="5">
        <v>2</v>
      </c>
      <c r="D7" s="5">
        <v>2000</v>
      </c>
      <c r="E7" s="4">
        <f t="shared" si="0"/>
        <v>4000</v>
      </c>
      <c r="F7" s="5"/>
      <c r="G7" s="5">
        <f t="shared" si="1"/>
        <v>49000</v>
      </c>
    </row>
    <row r="8" spans="1:7" ht="15.6" x14ac:dyDescent="0.3">
      <c r="A8" s="5" t="s">
        <v>6</v>
      </c>
      <c r="B8" s="5" t="s">
        <v>12</v>
      </c>
      <c r="C8" s="5">
        <v>2</v>
      </c>
      <c r="D8" s="5">
        <v>2000</v>
      </c>
      <c r="E8" s="4">
        <f t="shared" si="0"/>
        <v>4000</v>
      </c>
      <c r="F8" s="5"/>
      <c r="G8" s="5">
        <f t="shared" si="1"/>
        <v>53000</v>
      </c>
    </row>
    <row r="9" spans="1:7" ht="15.6" x14ac:dyDescent="0.3">
      <c r="A9" s="5" t="s">
        <v>7</v>
      </c>
      <c r="B9" s="5" t="s">
        <v>12</v>
      </c>
      <c r="C9" s="5">
        <v>4</v>
      </c>
      <c r="D9" s="5">
        <v>2000</v>
      </c>
      <c r="E9" s="4">
        <f t="shared" si="0"/>
        <v>8000</v>
      </c>
      <c r="F9" s="5"/>
      <c r="G9" s="5">
        <f t="shared" si="1"/>
        <v>61000</v>
      </c>
    </row>
    <row r="10" spans="1:7" ht="15.6" x14ac:dyDescent="0.3">
      <c r="A10" s="6" t="s">
        <v>9</v>
      </c>
      <c r="B10" s="6" t="s">
        <v>15</v>
      </c>
      <c r="C10" s="6"/>
      <c r="D10" s="6"/>
      <c r="E10" s="10">
        <f t="shared" si="0"/>
        <v>0</v>
      </c>
      <c r="F10" s="6">
        <v>20000</v>
      </c>
      <c r="G10" s="6">
        <f t="shared" si="1"/>
        <v>41000</v>
      </c>
    </row>
    <row r="11" spans="1:7" ht="15.6" x14ac:dyDescent="0.3">
      <c r="A11" s="5" t="s">
        <v>8</v>
      </c>
      <c r="B11" s="5" t="s">
        <v>16</v>
      </c>
      <c r="C11" s="5">
        <v>1</v>
      </c>
      <c r="D11" s="5">
        <v>3500</v>
      </c>
      <c r="E11" s="4">
        <f t="shared" si="0"/>
        <v>3500</v>
      </c>
      <c r="F11" s="5"/>
      <c r="G11" s="5">
        <f t="shared" si="1"/>
        <v>44500</v>
      </c>
    </row>
    <row r="12" spans="1:7" ht="15.6" x14ac:dyDescent="0.3">
      <c r="A12" s="5" t="s">
        <v>8</v>
      </c>
      <c r="B12" s="5" t="s">
        <v>14</v>
      </c>
      <c r="C12" s="5">
        <v>1</v>
      </c>
      <c r="D12" s="5">
        <v>3400</v>
      </c>
      <c r="E12" s="4">
        <f t="shared" si="0"/>
        <v>3400</v>
      </c>
      <c r="F12" s="5"/>
      <c r="G12" s="5">
        <f t="shared" si="1"/>
        <v>47900</v>
      </c>
    </row>
    <row r="13" spans="1:7" ht="15.6" x14ac:dyDescent="0.3">
      <c r="A13" s="5" t="s">
        <v>8</v>
      </c>
      <c r="B13" s="5" t="s">
        <v>17</v>
      </c>
      <c r="C13" s="5">
        <v>1</v>
      </c>
      <c r="D13" s="5">
        <v>2150</v>
      </c>
      <c r="E13" s="4">
        <f t="shared" si="0"/>
        <v>2150</v>
      </c>
      <c r="F13" s="5"/>
      <c r="G13" s="5">
        <f t="shared" si="1"/>
        <v>50050</v>
      </c>
    </row>
    <row r="14" spans="1:7" ht="15.6" x14ac:dyDescent="0.3">
      <c r="A14" s="5" t="s">
        <v>10</v>
      </c>
      <c r="B14" s="5" t="s">
        <v>12</v>
      </c>
      <c r="C14" s="5">
        <v>2</v>
      </c>
      <c r="D14" s="5">
        <v>2000</v>
      </c>
      <c r="E14" s="4">
        <f t="shared" si="0"/>
        <v>4000</v>
      </c>
      <c r="F14" s="5"/>
      <c r="G14" s="5">
        <f t="shared" si="1"/>
        <v>54050</v>
      </c>
    </row>
    <row r="15" spans="1:7" ht="15.6" x14ac:dyDescent="0.3">
      <c r="A15" s="6" t="s">
        <v>20</v>
      </c>
      <c r="B15" s="6" t="s">
        <v>19</v>
      </c>
      <c r="C15" s="11"/>
      <c r="D15" s="11"/>
      <c r="E15" s="12">
        <f t="shared" si="0"/>
        <v>0</v>
      </c>
      <c r="F15" s="11">
        <v>35000</v>
      </c>
      <c r="G15" s="11">
        <f t="shared" si="1"/>
        <v>19050</v>
      </c>
    </row>
    <row r="16" spans="1:7" ht="15.6" x14ac:dyDescent="0.3">
      <c r="A16" s="5" t="s">
        <v>11</v>
      </c>
      <c r="B16" s="5" t="s">
        <v>12</v>
      </c>
      <c r="C16" s="5">
        <v>1</v>
      </c>
      <c r="D16" s="5">
        <v>2000</v>
      </c>
      <c r="E16" s="4">
        <f t="shared" si="0"/>
        <v>2000</v>
      </c>
      <c r="F16" s="5"/>
      <c r="G16" s="5">
        <f t="shared" si="1"/>
        <v>21050</v>
      </c>
    </row>
    <row r="17" spans="1:7" ht="15.6" x14ac:dyDescent="0.3">
      <c r="A17" s="5" t="s">
        <v>21</v>
      </c>
      <c r="B17" s="5" t="s">
        <v>12</v>
      </c>
      <c r="C17" s="5">
        <v>3</v>
      </c>
      <c r="D17" s="5">
        <v>2000</v>
      </c>
      <c r="E17" s="4">
        <f t="shared" si="0"/>
        <v>6000</v>
      </c>
      <c r="F17" s="5"/>
      <c r="G17" s="5">
        <f t="shared" si="1"/>
        <v>27050</v>
      </c>
    </row>
    <row r="18" spans="1:7" x14ac:dyDescent="0.3">
      <c r="A18" s="3"/>
      <c r="B18" s="3"/>
      <c r="C18" s="3"/>
      <c r="D18" s="3"/>
      <c r="E18" s="2"/>
      <c r="F18" s="3"/>
      <c r="G18" s="3"/>
    </row>
    <row r="19" spans="1:7" ht="28.8" x14ac:dyDescent="0.55000000000000004">
      <c r="A19" s="24" t="s">
        <v>22</v>
      </c>
      <c r="B19" s="24"/>
      <c r="C19" s="24"/>
      <c r="D19" s="24"/>
      <c r="E19" s="7">
        <f>SUM(E4:E18)</f>
        <v>82050</v>
      </c>
      <c r="F19" s="8">
        <f>SUM(F4:F18)</f>
        <v>55000</v>
      </c>
      <c r="G19" s="9">
        <f>E19-F19</f>
        <v>27050</v>
      </c>
    </row>
  </sheetData>
  <mergeCells count="3">
    <mergeCell ref="A1:G1"/>
    <mergeCell ref="A2:G2"/>
    <mergeCell ref="A19:D19"/>
  </mergeCells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CDA9-A6E9-48B4-90EA-9BDA2EB4F082}">
  <dimension ref="A1:G23"/>
  <sheetViews>
    <sheetView workbookViewId="0">
      <selection activeCell="G5" sqref="G5"/>
    </sheetView>
  </sheetViews>
  <sheetFormatPr defaultRowHeight="14.4" x14ac:dyDescent="0.3"/>
  <cols>
    <col min="1" max="2" width="19.5546875" customWidth="1"/>
    <col min="3" max="3" width="11.88671875" customWidth="1"/>
    <col min="4" max="4" width="11.5546875" customWidth="1"/>
    <col min="5" max="5" width="15" customWidth="1"/>
    <col min="6" max="6" width="19.5546875" customWidth="1"/>
    <col min="7" max="7" width="26.88671875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25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27050</v>
      </c>
      <c r="F4" s="4"/>
      <c r="G4" s="5">
        <v>27050</v>
      </c>
    </row>
    <row r="5" spans="1:7" ht="15.6" x14ac:dyDescent="0.3">
      <c r="A5" s="5" t="s">
        <v>26</v>
      </c>
      <c r="B5" s="5" t="s">
        <v>17</v>
      </c>
      <c r="C5" s="5">
        <v>1</v>
      </c>
      <c r="D5" s="5">
        <v>2050</v>
      </c>
      <c r="E5" s="4">
        <f t="shared" ref="E5:E22" si="0">C5*D5</f>
        <v>2050</v>
      </c>
      <c r="F5" s="5"/>
      <c r="G5" s="5">
        <f>G4+E5-F5</f>
        <v>29100</v>
      </c>
    </row>
    <row r="6" spans="1:7" ht="15.6" x14ac:dyDescent="0.3">
      <c r="A6" s="5" t="s">
        <v>26</v>
      </c>
      <c r="B6" s="5" t="s">
        <v>14</v>
      </c>
      <c r="C6" s="5">
        <v>5</v>
      </c>
      <c r="D6" s="5">
        <v>180</v>
      </c>
      <c r="E6" s="4">
        <f t="shared" si="0"/>
        <v>900</v>
      </c>
      <c r="F6" s="5"/>
      <c r="G6" s="5">
        <f t="shared" ref="G6:G22" si="1">G5+E6-F6</f>
        <v>30000</v>
      </c>
    </row>
    <row r="7" spans="1:7" ht="15.6" x14ac:dyDescent="0.3">
      <c r="A7" s="5" t="s">
        <v>27</v>
      </c>
      <c r="B7" s="5" t="s">
        <v>16</v>
      </c>
      <c r="C7" s="5">
        <v>1</v>
      </c>
      <c r="D7" s="5">
        <v>3500</v>
      </c>
      <c r="E7" s="4">
        <f t="shared" si="0"/>
        <v>3500</v>
      </c>
      <c r="F7" s="5"/>
      <c r="G7" s="5">
        <f t="shared" si="1"/>
        <v>33500</v>
      </c>
    </row>
    <row r="8" spans="1:7" ht="15.6" x14ac:dyDescent="0.3">
      <c r="A8" s="5" t="s">
        <v>27</v>
      </c>
      <c r="B8" s="5" t="s">
        <v>14</v>
      </c>
      <c r="C8" s="5">
        <v>1</v>
      </c>
      <c r="D8" s="5">
        <v>3400</v>
      </c>
      <c r="E8" s="4">
        <f t="shared" si="0"/>
        <v>3400</v>
      </c>
      <c r="F8" s="5"/>
      <c r="G8" s="5">
        <f t="shared" si="1"/>
        <v>36900</v>
      </c>
    </row>
    <row r="9" spans="1:7" ht="15.6" x14ac:dyDescent="0.3">
      <c r="A9" s="5" t="s">
        <v>27</v>
      </c>
      <c r="B9" s="5" t="s">
        <v>12</v>
      </c>
      <c r="C9" s="5">
        <v>1</v>
      </c>
      <c r="D9" s="5">
        <v>2000</v>
      </c>
      <c r="E9" s="4">
        <f t="shared" si="0"/>
        <v>2000</v>
      </c>
      <c r="F9" s="5"/>
      <c r="G9" s="5">
        <f t="shared" si="1"/>
        <v>38900</v>
      </c>
    </row>
    <row r="10" spans="1:7" ht="15.6" x14ac:dyDescent="0.3">
      <c r="A10" s="5" t="s">
        <v>28</v>
      </c>
      <c r="B10" s="5" t="s">
        <v>12</v>
      </c>
      <c r="C10" s="5">
        <v>2</v>
      </c>
      <c r="D10" s="5">
        <v>2000</v>
      </c>
      <c r="E10" s="14">
        <f t="shared" si="0"/>
        <v>4000</v>
      </c>
      <c r="F10" s="13"/>
      <c r="G10" s="13">
        <f t="shared" si="1"/>
        <v>42900</v>
      </c>
    </row>
    <row r="11" spans="1:7" ht="15.6" x14ac:dyDescent="0.3">
      <c r="A11" s="5" t="s">
        <v>29</v>
      </c>
      <c r="B11" s="5" t="s">
        <v>17</v>
      </c>
      <c r="C11" s="5">
        <v>1</v>
      </c>
      <c r="D11" s="5">
        <v>2050</v>
      </c>
      <c r="E11" s="4">
        <f t="shared" si="0"/>
        <v>2050</v>
      </c>
      <c r="F11" s="5"/>
      <c r="G11" s="5">
        <f t="shared" si="1"/>
        <v>44950</v>
      </c>
    </row>
    <row r="12" spans="1:7" ht="15.6" x14ac:dyDescent="0.3">
      <c r="A12" s="5" t="s">
        <v>29</v>
      </c>
      <c r="B12" s="5" t="s">
        <v>14</v>
      </c>
      <c r="C12" s="5">
        <v>1</v>
      </c>
      <c r="D12" s="5">
        <v>3400</v>
      </c>
      <c r="E12" s="4">
        <f t="shared" si="0"/>
        <v>3400</v>
      </c>
      <c r="F12" s="5"/>
      <c r="G12" s="5">
        <f t="shared" si="1"/>
        <v>48350</v>
      </c>
    </row>
    <row r="13" spans="1:7" ht="15.6" x14ac:dyDescent="0.3">
      <c r="A13" s="5" t="s">
        <v>30</v>
      </c>
      <c r="B13" s="5" t="s">
        <v>16</v>
      </c>
      <c r="C13" s="5">
        <v>1</v>
      </c>
      <c r="D13" s="5">
        <v>3400</v>
      </c>
      <c r="E13" s="4">
        <f t="shared" si="0"/>
        <v>3400</v>
      </c>
      <c r="F13" s="5"/>
      <c r="G13" s="5">
        <f t="shared" si="1"/>
        <v>51750</v>
      </c>
    </row>
    <row r="14" spans="1:7" ht="15.6" x14ac:dyDescent="0.3">
      <c r="A14" s="5" t="s">
        <v>30</v>
      </c>
      <c r="B14" s="5" t="s">
        <v>12</v>
      </c>
      <c r="C14" s="5">
        <v>1</v>
      </c>
      <c r="D14" s="5">
        <v>2000</v>
      </c>
      <c r="E14" s="4">
        <f t="shared" si="0"/>
        <v>2000</v>
      </c>
      <c r="F14" s="5"/>
      <c r="G14" s="5">
        <f t="shared" si="1"/>
        <v>53750</v>
      </c>
    </row>
    <row r="15" spans="1:7" ht="15.6" x14ac:dyDescent="0.3">
      <c r="A15" s="5" t="s">
        <v>31</v>
      </c>
      <c r="B15" s="13" t="s">
        <v>12</v>
      </c>
      <c r="C15" s="13">
        <v>1</v>
      </c>
      <c r="D15" s="13">
        <v>2000</v>
      </c>
      <c r="E15" s="14">
        <f t="shared" si="0"/>
        <v>2000</v>
      </c>
      <c r="F15" s="13"/>
      <c r="G15" s="13">
        <f t="shared" si="1"/>
        <v>55750</v>
      </c>
    </row>
    <row r="16" spans="1:7" ht="15.6" x14ac:dyDescent="0.3">
      <c r="A16" s="5" t="s">
        <v>32</v>
      </c>
      <c r="B16" s="13" t="s">
        <v>17</v>
      </c>
      <c r="C16" s="13">
        <v>1</v>
      </c>
      <c r="D16" s="13">
        <v>2050</v>
      </c>
      <c r="E16" s="14">
        <f t="shared" si="0"/>
        <v>2050</v>
      </c>
      <c r="F16" s="13"/>
      <c r="G16" s="13">
        <f t="shared" si="1"/>
        <v>57800</v>
      </c>
    </row>
    <row r="17" spans="1:7" ht="15.6" x14ac:dyDescent="0.3">
      <c r="A17" s="5" t="s">
        <v>34</v>
      </c>
      <c r="B17" s="5" t="s">
        <v>12</v>
      </c>
      <c r="C17" s="5">
        <v>2</v>
      </c>
      <c r="D17" s="5">
        <v>2000</v>
      </c>
      <c r="E17" s="4">
        <f t="shared" si="0"/>
        <v>4000</v>
      </c>
      <c r="F17" s="5"/>
      <c r="G17" s="13">
        <f t="shared" si="1"/>
        <v>61800</v>
      </c>
    </row>
    <row r="18" spans="1:7" ht="15.6" x14ac:dyDescent="0.3">
      <c r="A18" s="6" t="s">
        <v>34</v>
      </c>
      <c r="B18" s="6" t="s">
        <v>35</v>
      </c>
      <c r="C18" s="6"/>
      <c r="D18" s="6"/>
      <c r="E18" s="4">
        <f t="shared" si="0"/>
        <v>0</v>
      </c>
      <c r="F18" s="6">
        <v>40000</v>
      </c>
      <c r="G18" s="6">
        <f t="shared" si="1"/>
        <v>21800</v>
      </c>
    </row>
    <row r="19" spans="1:7" ht="15.6" x14ac:dyDescent="0.3">
      <c r="A19" s="5" t="s">
        <v>37</v>
      </c>
      <c r="B19" s="5" t="s">
        <v>16</v>
      </c>
      <c r="C19" s="5">
        <v>1</v>
      </c>
      <c r="D19" s="5">
        <v>3600</v>
      </c>
      <c r="E19" s="4">
        <f t="shared" si="0"/>
        <v>3600</v>
      </c>
      <c r="F19" s="5"/>
      <c r="G19" s="15">
        <f t="shared" si="1"/>
        <v>25400</v>
      </c>
    </row>
    <row r="20" spans="1:7" ht="15.6" x14ac:dyDescent="0.3">
      <c r="A20" s="5" t="s">
        <v>37</v>
      </c>
      <c r="B20" s="5" t="s">
        <v>14</v>
      </c>
      <c r="C20" s="5">
        <v>1</v>
      </c>
      <c r="D20" s="5">
        <v>3400</v>
      </c>
      <c r="E20" s="4">
        <f t="shared" si="0"/>
        <v>3400</v>
      </c>
      <c r="F20" s="5"/>
      <c r="G20" s="15">
        <f t="shared" si="1"/>
        <v>28800</v>
      </c>
    </row>
    <row r="21" spans="1:7" ht="15.6" x14ac:dyDescent="0.3">
      <c r="A21" s="5" t="s">
        <v>38</v>
      </c>
      <c r="B21" s="5" t="s">
        <v>39</v>
      </c>
      <c r="C21" s="5">
        <v>2</v>
      </c>
      <c r="D21" s="5">
        <v>2020</v>
      </c>
      <c r="E21" s="4">
        <f t="shared" si="0"/>
        <v>4040</v>
      </c>
      <c r="F21" s="5"/>
      <c r="G21" s="15">
        <f t="shared" si="1"/>
        <v>32840</v>
      </c>
    </row>
    <row r="22" spans="1:7" ht="15.6" x14ac:dyDescent="0.3">
      <c r="A22" s="5" t="s">
        <v>40</v>
      </c>
      <c r="B22" s="3" t="s">
        <v>39</v>
      </c>
      <c r="C22" s="3">
        <v>1</v>
      </c>
      <c r="D22" s="3">
        <v>2025</v>
      </c>
      <c r="E22" s="4">
        <f t="shared" si="0"/>
        <v>2025</v>
      </c>
      <c r="F22" s="3"/>
      <c r="G22" s="15">
        <f t="shared" si="1"/>
        <v>34865</v>
      </c>
    </row>
    <row r="23" spans="1:7" ht="28.8" x14ac:dyDescent="0.55000000000000004">
      <c r="A23" s="24" t="s">
        <v>33</v>
      </c>
      <c r="B23" s="24"/>
      <c r="C23" s="24"/>
      <c r="D23" s="24"/>
      <c r="E23" s="7">
        <f>SUM(E4:E22)</f>
        <v>74865</v>
      </c>
      <c r="F23" s="8">
        <f>SUM(F4:F22)</f>
        <v>40000</v>
      </c>
      <c r="G23" s="9">
        <f>E23-F23</f>
        <v>34865</v>
      </c>
    </row>
  </sheetData>
  <mergeCells count="3">
    <mergeCell ref="A1:G1"/>
    <mergeCell ref="A2:G2"/>
    <mergeCell ref="A23:D23"/>
  </mergeCells>
  <pageMargins left="0.7" right="0.7" top="0.75" bottom="0.75" header="0.3" footer="0.3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71AB-786B-4E12-B548-E7EACC50D445}">
  <dimension ref="A1:G23"/>
  <sheetViews>
    <sheetView topLeftCell="A5" workbookViewId="0">
      <selection activeCell="D25" sqref="D25"/>
    </sheetView>
  </sheetViews>
  <sheetFormatPr defaultRowHeight="14.4" x14ac:dyDescent="0.3"/>
  <cols>
    <col min="1" max="1" width="16.88671875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41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34865</v>
      </c>
      <c r="F4" s="4"/>
      <c r="G4" s="5">
        <v>34865</v>
      </c>
    </row>
    <row r="5" spans="1:7" ht="15.6" x14ac:dyDescent="0.3">
      <c r="A5" s="5" t="s">
        <v>42</v>
      </c>
      <c r="B5" s="5" t="s">
        <v>12</v>
      </c>
      <c r="C5" s="5">
        <v>2</v>
      </c>
      <c r="D5" s="5">
        <v>2025</v>
      </c>
      <c r="E5" s="4">
        <f>C5*D5</f>
        <v>4050</v>
      </c>
      <c r="F5" s="5"/>
      <c r="G5" s="5">
        <f>G4+E5-F5</f>
        <v>38915</v>
      </c>
    </row>
    <row r="6" spans="1:7" ht="15.6" x14ac:dyDescent="0.3">
      <c r="A6" s="5" t="s">
        <v>44</v>
      </c>
      <c r="B6" s="5" t="s">
        <v>16</v>
      </c>
      <c r="C6" s="5">
        <v>5</v>
      </c>
      <c r="D6" s="5">
        <v>80</v>
      </c>
      <c r="E6" s="4">
        <f t="shared" ref="E6:E21" si="0">C6*D6</f>
        <v>400</v>
      </c>
      <c r="F6" s="5"/>
      <c r="G6" s="5">
        <f t="shared" ref="G6:G21" si="1">G5+E6-F6</f>
        <v>39315</v>
      </c>
    </row>
    <row r="7" spans="1:7" ht="15.6" x14ac:dyDescent="0.3">
      <c r="A7" s="5" t="s">
        <v>44</v>
      </c>
      <c r="B7" s="5" t="s">
        <v>45</v>
      </c>
      <c r="C7" s="5">
        <v>1</v>
      </c>
      <c r="D7" s="5">
        <v>3400</v>
      </c>
      <c r="E7" s="4">
        <f t="shared" si="0"/>
        <v>3400</v>
      </c>
      <c r="F7" s="5"/>
      <c r="G7" s="5">
        <f t="shared" si="1"/>
        <v>42715</v>
      </c>
    </row>
    <row r="8" spans="1:7" ht="15.6" x14ac:dyDescent="0.3">
      <c r="A8" s="5" t="s">
        <v>44</v>
      </c>
      <c r="B8" s="5" t="s">
        <v>46</v>
      </c>
      <c r="C8" s="5">
        <v>1</v>
      </c>
      <c r="D8" s="5">
        <v>2100</v>
      </c>
      <c r="E8" s="4">
        <f t="shared" si="0"/>
        <v>2100</v>
      </c>
      <c r="F8" s="5"/>
      <c r="G8" s="5">
        <f t="shared" si="1"/>
        <v>44815</v>
      </c>
    </row>
    <row r="9" spans="1:7" ht="15.6" x14ac:dyDescent="0.3">
      <c r="A9" s="5" t="s">
        <v>47</v>
      </c>
      <c r="B9" s="5" t="s">
        <v>16</v>
      </c>
      <c r="C9" s="5">
        <v>1</v>
      </c>
      <c r="D9" s="5">
        <v>3500</v>
      </c>
      <c r="E9" s="4">
        <f t="shared" si="0"/>
        <v>3500</v>
      </c>
      <c r="F9" s="5"/>
      <c r="G9" s="5">
        <f t="shared" si="1"/>
        <v>48315</v>
      </c>
    </row>
    <row r="10" spans="1:7" ht="15.6" x14ac:dyDescent="0.3">
      <c r="A10" s="5" t="s">
        <v>47</v>
      </c>
      <c r="B10" s="5" t="s">
        <v>12</v>
      </c>
      <c r="C10" s="5">
        <v>1</v>
      </c>
      <c r="D10" s="5">
        <v>2020</v>
      </c>
      <c r="E10" s="4">
        <f t="shared" si="0"/>
        <v>2020</v>
      </c>
      <c r="F10" s="13"/>
      <c r="G10" s="5">
        <f t="shared" si="1"/>
        <v>50335</v>
      </c>
    </row>
    <row r="11" spans="1:7" ht="15.6" x14ac:dyDescent="0.3">
      <c r="A11" s="5" t="s">
        <v>48</v>
      </c>
      <c r="B11" s="5" t="s">
        <v>12</v>
      </c>
      <c r="C11" s="5">
        <v>2</v>
      </c>
      <c r="D11" s="5">
        <v>2020</v>
      </c>
      <c r="E11" s="4">
        <f t="shared" si="0"/>
        <v>4040</v>
      </c>
      <c r="F11" s="5"/>
      <c r="G11" s="5">
        <f t="shared" si="1"/>
        <v>54375</v>
      </c>
    </row>
    <row r="12" spans="1:7" ht="15.6" x14ac:dyDescent="0.3">
      <c r="A12" s="5" t="s">
        <v>49</v>
      </c>
      <c r="B12" s="5" t="s">
        <v>12</v>
      </c>
      <c r="C12" s="5">
        <v>2</v>
      </c>
      <c r="D12" s="5">
        <v>2020</v>
      </c>
      <c r="E12" s="4">
        <f t="shared" si="0"/>
        <v>4040</v>
      </c>
      <c r="F12" s="5"/>
      <c r="G12" s="5">
        <f t="shared" si="1"/>
        <v>58415</v>
      </c>
    </row>
    <row r="13" spans="1:7" ht="15.6" x14ac:dyDescent="0.3">
      <c r="A13" s="5" t="s">
        <v>49</v>
      </c>
      <c r="B13" s="5" t="s">
        <v>46</v>
      </c>
      <c r="C13" s="5">
        <v>1</v>
      </c>
      <c r="D13" s="5">
        <v>2100</v>
      </c>
      <c r="E13" s="4">
        <f t="shared" si="0"/>
        <v>2100</v>
      </c>
      <c r="F13" s="5"/>
      <c r="G13" s="5">
        <f t="shared" si="1"/>
        <v>60515</v>
      </c>
    </row>
    <row r="14" spans="1:7" ht="15.6" x14ac:dyDescent="0.3">
      <c r="A14" s="5" t="s">
        <v>50</v>
      </c>
      <c r="B14" s="5" t="s">
        <v>45</v>
      </c>
      <c r="C14" s="5">
        <v>1</v>
      </c>
      <c r="D14" s="5">
        <v>3450</v>
      </c>
      <c r="E14" s="4">
        <f t="shared" si="0"/>
        <v>3450</v>
      </c>
      <c r="F14" s="5"/>
      <c r="G14" s="5">
        <f t="shared" si="1"/>
        <v>63965</v>
      </c>
    </row>
    <row r="15" spans="1:7" ht="15.6" x14ac:dyDescent="0.3">
      <c r="A15" s="5" t="s">
        <v>51</v>
      </c>
      <c r="B15" s="13" t="s">
        <v>12</v>
      </c>
      <c r="C15" s="13">
        <v>2</v>
      </c>
      <c r="D15" s="13">
        <v>2025</v>
      </c>
      <c r="E15" s="4">
        <f t="shared" si="0"/>
        <v>4050</v>
      </c>
      <c r="F15" s="13"/>
      <c r="G15" s="5">
        <f t="shared" si="1"/>
        <v>68015</v>
      </c>
    </row>
    <row r="16" spans="1:7" ht="15.6" x14ac:dyDescent="0.3">
      <c r="A16" s="11" t="s">
        <v>51</v>
      </c>
      <c r="B16" s="11" t="s">
        <v>53</v>
      </c>
      <c r="C16" s="11"/>
      <c r="D16" s="11"/>
      <c r="E16" s="12">
        <f t="shared" si="0"/>
        <v>0</v>
      </c>
      <c r="F16" s="11">
        <v>40000</v>
      </c>
      <c r="G16" s="11">
        <f t="shared" si="1"/>
        <v>28015</v>
      </c>
    </row>
    <row r="17" spans="1:7" ht="15.6" x14ac:dyDescent="0.3">
      <c r="A17" s="5" t="s">
        <v>52</v>
      </c>
      <c r="B17" s="15" t="s">
        <v>16</v>
      </c>
      <c r="C17" s="15">
        <v>1</v>
      </c>
      <c r="D17" s="15">
        <v>3500</v>
      </c>
      <c r="E17" s="4">
        <f t="shared" si="0"/>
        <v>3500</v>
      </c>
      <c r="F17" s="15"/>
      <c r="G17" s="5">
        <f t="shared" si="1"/>
        <v>31515</v>
      </c>
    </row>
    <row r="18" spans="1:7" ht="15.6" x14ac:dyDescent="0.3">
      <c r="A18" s="5" t="s">
        <v>54</v>
      </c>
      <c r="B18" s="15" t="s">
        <v>12</v>
      </c>
      <c r="C18" s="15">
        <v>3</v>
      </c>
      <c r="D18" s="15">
        <v>2025</v>
      </c>
      <c r="E18" s="4">
        <f t="shared" si="0"/>
        <v>6075</v>
      </c>
      <c r="F18" s="15"/>
      <c r="G18" s="5">
        <f t="shared" si="1"/>
        <v>37590</v>
      </c>
    </row>
    <row r="19" spans="1:7" ht="15.6" x14ac:dyDescent="0.3">
      <c r="A19" s="5" t="s">
        <v>55</v>
      </c>
      <c r="B19" s="15" t="s">
        <v>45</v>
      </c>
      <c r="C19" s="15">
        <v>1</v>
      </c>
      <c r="D19" s="15">
        <v>3450</v>
      </c>
      <c r="E19" s="4">
        <f t="shared" si="0"/>
        <v>3450</v>
      </c>
      <c r="F19" s="15"/>
      <c r="G19" s="5">
        <f t="shared" si="1"/>
        <v>41040</v>
      </c>
    </row>
    <row r="20" spans="1:7" ht="15.6" x14ac:dyDescent="0.3">
      <c r="A20" s="5" t="s">
        <v>56</v>
      </c>
      <c r="B20" s="15" t="s">
        <v>46</v>
      </c>
      <c r="C20" s="15">
        <v>1</v>
      </c>
      <c r="D20" s="15">
        <v>2100</v>
      </c>
      <c r="E20" s="4">
        <f t="shared" si="0"/>
        <v>2100</v>
      </c>
      <c r="F20" s="15"/>
      <c r="G20" s="5">
        <f t="shared" si="1"/>
        <v>43140</v>
      </c>
    </row>
    <row r="21" spans="1:7" ht="15.6" x14ac:dyDescent="0.3">
      <c r="A21" s="5" t="s">
        <v>57</v>
      </c>
      <c r="B21" s="15" t="s">
        <v>12</v>
      </c>
      <c r="C21" s="15">
        <v>2</v>
      </c>
      <c r="D21" s="15">
        <v>2025</v>
      </c>
      <c r="E21" s="4">
        <f t="shared" si="0"/>
        <v>4050</v>
      </c>
      <c r="F21" s="15"/>
      <c r="G21" s="5">
        <f t="shared" si="1"/>
        <v>47190</v>
      </c>
    </row>
    <row r="22" spans="1:7" ht="15.6" x14ac:dyDescent="0.3">
      <c r="A22" s="15"/>
      <c r="B22" s="17"/>
      <c r="C22" s="17"/>
      <c r="D22" s="17"/>
      <c r="E22" s="16"/>
      <c r="F22" s="17"/>
      <c r="G22" s="15"/>
    </row>
    <row r="23" spans="1:7" ht="28.8" x14ac:dyDescent="0.55000000000000004">
      <c r="A23" s="24" t="s">
        <v>71</v>
      </c>
      <c r="B23" s="24"/>
      <c r="C23" s="24"/>
      <c r="D23" s="24"/>
      <c r="E23" s="7">
        <f>SUM(E4:E22)</f>
        <v>87190</v>
      </c>
      <c r="F23" s="8">
        <f>SUM(F4:F22)</f>
        <v>40000</v>
      </c>
      <c r="G23" s="9">
        <f>E23-F23</f>
        <v>47190</v>
      </c>
    </row>
  </sheetData>
  <mergeCells count="3">
    <mergeCell ref="A1:G1"/>
    <mergeCell ref="A2:G2"/>
    <mergeCell ref="A23:D23"/>
  </mergeCells>
  <pageMargins left="0.7" right="0.7" top="0.75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7A0E-A743-4E89-94D2-F2A47790E6E8}">
  <dimension ref="A1:G23"/>
  <sheetViews>
    <sheetView workbookViewId="0">
      <selection activeCell="A5" sqref="A5"/>
    </sheetView>
  </sheetViews>
  <sheetFormatPr defaultRowHeight="14.4" x14ac:dyDescent="0.3"/>
  <cols>
    <col min="1" max="1" width="13.44140625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58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47190</v>
      </c>
      <c r="F4" s="4"/>
      <c r="G4" s="5">
        <v>47190</v>
      </c>
    </row>
    <row r="5" spans="1:7" ht="15.6" x14ac:dyDescent="0.3">
      <c r="A5" s="5" t="s">
        <v>59</v>
      </c>
      <c r="B5" s="5" t="s">
        <v>16</v>
      </c>
      <c r="C5" s="5">
        <v>1</v>
      </c>
      <c r="D5" s="5">
        <v>3500</v>
      </c>
      <c r="E5" s="4">
        <f>C5*D5</f>
        <v>3500</v>
      </c>
      <c r="F5" s="5"/>
      <c r="G5" s="5">
        <f>G4+E5-F5</f>
        <v>50690</v>
      </c>
    </row>
    <row r="6" spans="1:7" ht="15.6" x14ac:dyDescent="0.3">
      <c r="A6" s="5" t="s">
        <v>60</v>
      </c>
      <c r="B6" s="5" t="s">
        <v>12</v>
      </c>
      <c r="C6" s="5">
        <v>2</v>
      </c>
      <c r="D6" s="5">
        <v>2025</v>
      </c>
      <c r="E6" s="4">
        <f t="shared" ref="E6:E19" si="0">C6*D6</f>
        <v>4050</v>
      </c>
      <c r="F6" s="5"/>
      <c r="G6" s="5">
        <f t="shared" ref="G6:G19" si="1">G5+E6-F6</f>
        <v>54740</v>
      </c>
    </row>
    <row r="7" spans="1:7" ht="15.6" x14ac:dyDescent="0.3">
      <c r="A7" s="5" t="s">
        <v>61</v>
      </c>
      <c r="B7" s="5" t="s">
        <v>45</v>
      </c>
      <c r="C7" s="5">
        <v>1</v>
      </c>
      <c r="D7" s="5">
        <v>3450</v>
      </c>
      <c r="E7" s="4">
        <f t="shared" si="0"/>
        <v>3450</v>
      </c>
      <c r="F7" s="5"/>
      <c r="G7" s="5">
        <f t="shared" si="1"/>
        <v>58190</v>
      </c>
    </row>
    <row r="8" spans="1:7" ht="15.6" x14ac:dyDescent="0.3">
      <c r="A8" s="5" t="s">
        <v>61</v>
      </c>
      <c r="B8" s="5" t="s">
        <v>46</v>
      </c>
      <c r="C8" s="5">
        <v>1</v>
      </c>
      <c r="D8" s="5">
        <v>2100</v>
      </c>
      <c r="E8" s="4">
        <f t="shared" si="0"/>
        <v>2100</v>
      </c>
      <c r="F8" s="5"/>
      <c r="G8" s="5">
        <f t="shared" si="1"/>
        <v>60290</v>
      </c>
    </row>
    <row r="9" spans="1:7" ht="15.6" x14ac:dyDescent="0.3">
      <c r="A9" s="5" t="s">
        <v>62</v>
      </c>
      <c r="B9" s="5" t="s">
        <v>12</v>
      </c>
      <c r="C9" s="5">
        <v>1</v>
      </c>
      <c r="D9" s="5">
        <v>2025</v>
      </c>
      <c r="E9" s="4">
        <f t="shared" si="0"/>
        <v>2025</v>
      </c>
      <c r="F9" s="5"/>
      <c r="G9" s="5">
        <f t="shared" si="1"/>
        <v>62315</v>
      </c>
    </row>
    <row r="10" spans="1:7" ht="15.6" x14ac:dyDescent="0.3">
      <c r="A10" s="5" t="s">
        <v>64</v>
      </c>
      <c r="B10" s="5" t="s">
        <v>63</v>
      </c>
      <c r="C10" s="5">
        <v>2</v>
      </c>
      <c r="D10" s="5">
        <v>2025</v>
      </c>
      <c r="E10" s="4">
        <f t="shared" si="0"/>
        <v>4050</v>
      </c>
      <c r="F10" s="13"/>
      <c r="G10" s="5">
        <f t="shared" si="1"/>
        <v>66365</v>
      </c>
    </row>
    <row r="11" spans="1:7" ht="15.6" x14ac:dyDescent="0.3">
      <c r="A11" s="5" t="s">
        <v>65</v>
      </c>
      <c r="B11" s="5" t="s">
        <v>46</v>
      </c>
      <c r="C11" s="5">
        <v>1</v>
      </c>
      <c r="D11" s="5">
        <v>2100</v>
      </c>
      <c r="E11" s="4">
        <f t="shared" si="0"/>
        <v>2100</v>
      </c>
      <c r="F11" s="5"/>
      <c r="G11" s="5">
        <f t="shared" si="1"/>
        <v>68465</v>
      </c>
    </row>
    <row r="12" spans="1:7" ht="15.6" x14ac:dyDescent="0.3">
      <c r="A12" s="5" t="s">
        <v>65</v>
      </c>
      <c r="B12" s="5" t="s">
        <v>45</v>
      </c>
      <c r="C12" s="5">
        <v>1</v>
      </c>
      <c r="D12" s="5">
        <v>3450</v>
      </c>
      <c r="E12" s="4">
        <f t="shared" si="0"/>
        <v>3450</v>
      </c>
      <c r="F12" s="5"/>
      <c r="G12" s="5">
        <f t="shared" si="1"/>
        <v>71915</v>
      </c>
    </row>
    <row r="13" spans="1:7" ht="15.6" x14ac:dyDescent="0.3">
      <c r="A13" s="5" t="s">
        <v>66</v>
      </c>
      <c r="B13" s="5" t="s">
        <v>12</v>
      </c>
      <c r="C13" s="5">
        <v>2</v>
      </c>
      <c r="D13" s="5">
        <v>2025</v>
      </c>
      <c r="E13" s="4">
        <f t="shared" si="0"/>
        <v>4050</v>
      </c>
      <c r="F13" s="5"/>
      <c r="G13" s="5">
        <f t="shared" si="1"/>
        <v>75965</v>
      </c>
    </row>
    <row r="14" spans="1:7" ht="15.6" x14ac:dyDescent="0.3">
      <c r="A14" s="5" t="s">
        <v>67</v>
      </c>
      <c r="B14" s="5" t="s">
        <v>16</v>
      </c>
      <c r="C14" s="5">
        <v>1</v>
      </c>
      <c r="D14" s="5">
        <v>3500</v>
      </c>
      <c r="E14" s="4">
        <f t="shared" si="0"/>
        <v>3500</v>
      </c>
      <c r="F14" s="5"/>
      <c r="G14" s="5">
        <f t="shared" si="1"/>
        <v>79465</v>
      </c>
    </row>
    <row r="15" spans="1:7" ht="15.6" x14ac:dyDescent="0.3">
      <c r="A15" s="5" t="s">
        <v>68</v>
      </c>
      <c r="B15" s="13" t="s">
        <v>53</v>
      </c>
      <c r="C15" s="13"/>
      <c r="D15" s="13"/>
      <c r="E15" s="4">
        <f t="shared" si="0"/>
        <v>0</v>
      </c>
      <c r="F15" s="13">
        <v>20000</v>
      </c>
      <c r="G15" s="5">
        <f t="shared" si="1"/>
        <v>59465</v>
      </c>
    </row>
    <row r="16" spans="1:7" ht="15.6" x14ac:dyDescent="0.3">
      <c r="A16" s="5" t="s">
        <v>69</v>
      </c>
      <c r="B16" s="11" t="s">
        <v>63</v>
      </c>
      <c r="C16" s="11">
        <v>2</v>
      </c>
      <c r="D16" s="11">
        <v>2025</v>
      </c>
      <c r="E16" s="4">
        <f t="shared" si="0"/>
        <v>4050</v>
      </c>
      <c r="F16" s="11"/>
      <c r="G16" s="5">
        <f t="shared" si="1"/>
        <v>63515</v>
      </c>
    </row>
    <row r="17" spans="1:7" ht="15.6" x14ac:dyDescent="0.3">
      <c r="A17" s="5" t="s">
        <v>70</v>
      </c>
      <c r="B17" s="15" t="s">
        <v>45</v>
      </c>
      <c r="C17" s="15">
        <v>1</v>
      </c>
      <c r="D17" s="15">
        <v>3450</v>
      </c>
      <c r="E17" s="4">
        <f t="shared" si="0"/>
        <v>3450</v>
      </c>
      <c r="F17" s="15"/>
      <c r="G17" s="5">
        <f t="shared" si="1"/>
        <v>66965</v>
      </c>
    </row>
    <row r="18" spans="1:7" ht="15.6" x14ac:dyDescent="0.3">
      <c r="A18" s="5" t="s">
        <v>70</v>
      </c>
      <c r="B18" s="15" t="s">
        <v>12</v>
      </c>
      <c r="C18" s="15">
        <v>2</v>
      </c>
      <c r="D18" s="15">
        <v>2025</v>
      </c>
      <c r="E18" s="4">
        <f t="shared" si="0"/>
        <v>4050</v>
      </c>
      <c r="F18" s="15"/>
      <c r="G18" s="5">
        <f t="shared" si="1"/>
        <v>71015</v>
      </c>
    </row>
    <row r="19" spans="1:7" ht="15.6" x14ac:dyDescent="0.3">
      <c r="A19" s="18">
        <v>66112</v>
      </c>
      <c r="B19" s="15" t="s">
        <v>53</v>
      </c>
      <c r="C19" s="15"/>
      <c r="D19" s="15"/>
      <c r="E19" s="4">
        <f t="shared" si="0"/>
        <v>0</v>
      </c>
      <c r="F19" s="15">
        <v>20000</v>
      </c>
      <c r="G19" s="5">
        <f t="shared" si="1"/>
        <v>51015</v>
      </c>
    </row>
    <row r="20" spans="1:7" ht="15.6" x14ac:dyDescent="0.3">
      <c r="A20" s="5"/>
      <c r="B20" s="15"/>
      <c r="C20" s="15"/>
      <c r="D20" s="15"/>
      <c r="E20" s="4"/>
      <c r="F20" s="15"/>
      <c r="G20" s="5"/>
    </row>
    <row r="21" spans="1:7" ht="15.6" x14ac:dyDescent="0.3">
      <c r="A21" s="5"/>
      <c r="B21" s="15"/>
      <c r="C21" s="15"/>
      <c r="D21" s="15"/>
      <c r="E21" s="4"/>
      <c r="F21" s="15"/>
      <c r="G21" s="5"/>
    </row>
    <row r="22" spans="1:7" ht="15.6" x14ac:dyDescent="0.3">
      <c r="A22" s="15"/>
      <c r="B22" s="17"/>
      <c r="C22" s="17"/>
      <c r="D22" s="17"/>
      <c r="E22" s="16"/>
      <c r="F22" s="17"/>
      <c r="G22" s="15"/>
    </row>
    <row r="23" spans="1:7" ht="28.8" x14ac:dyDescent="0.55000000000000004">
      <c r="A23" s="24" t="s">
        <v>72</v>
      </c>
      <c r="B23" s="24"/>
      <c r="C23" s="24"/>
      <c r="D23" s="24"/>
      <c r="E23" s="7">
        <f>SUM(E4:E22)</f>
        <v>91015</v>
      </c>
      <c r="F23" s="8">
        <f>SUM(F4:F22)</f>
        <v>40000</v>
      </c>
      <c r="G23" s="9">
        <f>E23-F23</f>
        <v>51015</v>
      </c>
    </row>
  </sheetData>
  <mergeCells count="3">
    <mergeCell ref="A1:G1"/>
    <mergeCell ref="A2:G2"/>
    <mergeCell ref="A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6486-1247-461C-B125-D15E6D3AA1A3}">
  <dimension ref="A1:G23"/>
  <sheetViews>
    <sheetView topLeftCell="A10" zoomScale="115" zoomScaleNormal="115" workbookViewId="0">
      <selection activeCell="E27" sqref="E27"/>
    </sheetView>
  </sheetViews>
  <sheetFormatPr defaultRowHeight="14.4" x14ac:dyDescent="0.3"/>
  <cols>
    <col min="1" max="1" width="12.77734375" bestFit="1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73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51015</v>
      </c>
      <c r="F4" s="4"/>
      <c r="G4" s="5">
        <v>51015</v>
      </c>
    </row>
    <row r="5" spans="1:7" ht="15.6" x14ac:dyDescent="0.3">
      <c r="A5" s="5" t="s">
        <v>74</v>
      </c>
      <c r="B5" s="5" t="s">
        <v>16</v>
      </c>
      <c r="C5" s="5">
        <v>1</v>
      </c>
      <c r="D5" s="5">
        <v>3500</v>
      </c>
      <c r="E5" s="4">
        <f>C5*D5</f>
        <v>3500</v>
      </c>
      <c r="F5" s="5"/>
      <c r="G5" s="5">
        <f>G4+E5-F5</f>
        <v>54515</v>
      </c>
    </row>
    <row r="6" spans="1:7" ht="15.6" x14ac:dyDescent="0.3">
      <c r="A6" s="5" t="s">
        <v>74</v>
      </c>
      <c r="B6" s="5" t="s">
        <v>17</v>
      </c>
      <c r="C6" s="5">
        <v>1</v>
      </c>
      <c r="D6" s="5">
        <v>2100</v>
      </c>
      <c r="E6" s="4">
        <f t="shared" ref="E6:E17" si="0">C6*D6</f>
        <v>2100</v>
      </c>
      <c r="F6" s="5"/>
      <c r="G6" s="5">
        <f t="shared" ref="G6:G17" si="1">G5+E6-F6</f>
        <v>56615</v>
      </c>
    </row>
    <row r="7" spans="1:7" ht="15.6" x14ac:dyDescent="0.3">
      <c r="A7" s="5" t="s">
        <v>74</v>
      </c>
      <c r="B7" s="5" t="s">
        <v>14</v>
      </c>
      <c r="C7" s="5">
        <v>1</v>
      </c>
      <c r="D7" s="5">
        <v>3450</v>
      </c>
      <c r="E7" s="4">
        <f t="shared" si="0"/>
        <v>3450</v>
      </c>
      <c r="F7" s="5"/>
      <c r="G7" s="5">
        <f t="shared" si="1"/>
        <v>60065</v>
      </c>
    </row>
    <row r="8" spans="1:7" ht="15.6" x14ac:dyDescent="0.3">
      <c r="A8" s="5" t="s">
        <v>75</v>
      </c>
      <c r="B8" s="5" t="s">
        <v>12</v>
      </c>
      <c r="C8" s="5">
        <v>1</v>
      </c>
      <c r="D8" s="5">
        <v>2025</v>
      </c>
      <c r="E8" s="4">
        <f t="shared" si="0"/>
        <v>2025</v>
      </c>
      <c r="F8" s="5"/>
      <c r="G8" s="5">
        <f t="shared" si="1"/>
        <v>62090</v>
      </c>
    </row>
    <row r="9" spans="1:7" ht="15.6" x14ac:dyDescent="0.3">
      <c r="A9" s="5" t="s">
        <v>76</v>
      </c>
      <c r="B9" s="5" t="s">
        <v>12</v>
      </c>
      <c r="C9" s="5">
        <v>2</v>
      </c>
      <c r="D9" s="5">
        <v>2025</v>
      </c>
      <c r="E9" s="4">
        <f t="shared" si="0"/>
        <v>4050</v>
      </c>
      <c r="F9" s="5"/>
      <c r="G9" s="5">
        <f t="shared" si="1"/>
        <v>66140</v>
      </c>
    </row>
    <row r="10" spans="1:7" ht="15.6" x14ac:dyDescent="0.3">
      <c r="A10" s="5" t="s">
        <v>76</v>
      </c>
      <c r="B10" s="5" t="s">
        <v>53</v>
      </c>
      <c r="C10" s="5"/>
      <c r="D10" s="5"/>
      <c r="E10" s="4">
        <f t="shared" si="0"/>
        <v>0</v>
      </c>
      <c r="F10" s="13">
        <v>30000</v>
      </c>
      <c r="G10" s="5">
        <f t="shared" si="1"/>
        <v>36140</v>
      </c>
    </row>
    <row r="11" spans="1:7" ht="15.6" x14ac:dyDescent="0.3">
      <c r="A11" s="5" t="s">
        <v>77</v>
      </c>
      <c r="B11" s="5" t="s">
        <v>14</v>
      </c>
      <c r="C11" s="5">
        <v>1</v>
      </c>
      <c r="D11" s="5">
        <v>3500</v>
      </c>
      <c r="E11" s="4">
        <f t="shared" si="0"/>
        <v>3500</v>
      </c>
      <c r="F11" s="5"/>
      <c r="G11" s="5">
        <f t="shared" si="1"/>
        <v>39640</v>
      </c>
    </row>
    <row r="12" spans="1:7" ht="15.6" x14ac:dyDescent="0.3">
      <c r="A12" s="5" t="s">
        <v>78</v>
      </c>
      <c r="B12" s="5" t="s">
        <v>12</v>
      </c>
      <c r="C12" s="5">
        <v>1</v>
      </c>
      <c r="D12" s="5">
        <v>2025</v>
      </c>
      <c r="E12" s="4">
        <f t="shared" si="0"/>
        <v>2025</v>
      </c>
      <c r="F12" s="5"/>
      <c r="G12" s="5">
        <f t="shared" si="1"/>
        <v>41665</v>
      </c>
    </row>
    <row r="13" spans="1:7" ht="15.6" x14ac:dyDescent="0.3">
      <c r="A13" s="5" t="s">
        <v>79</v>
      </c>
      <c r="B13" s="5" t="s">
        <v>12</v>
      </c>
      <c r="C13" s="5">
        <v>2</v>
      </c>
      <c r="D13" s="5">
        <v>2025</v>
      </c>
      <c r="E13" s="4">
        <f t="shared" si="0"/>
        <v>4050</v>
      </c>
      <c r="F13" s="5"/>
      <c r="G13" s="5">
        <f t="shared" si="1"/>
        <v>45715</v>
      </c>
    </row>
    <row r="14" spans="1:7" ht="15.6" x14ac:dyDescent="0.3">
      <c r="A14" s="5" t="s">
        <v>80</v>
      </c>
      <c r="B14" s="5" t="s">
        <v>12</v>
      </c>
      <c r="C14" s="5">
        <v>2</v>
      </c>
      <c r="D14" s="5">
        <v>2025</v>
      </c>
      <c r="E14" s="4">
        <f t="shared" si="0"/>
        <v>4050</v>
      </c>
      <c r="F14" s="5"/>
      <c r="G14" s="5">
        <f t="shared" si="1"/>
        <v>49765</v>
      </c>
    </row>
    <row r="15" spans="1:7" ht="15.6" x14ac:dyDescent="0.3">
      <c r="A15" s="5" t="s">
        <v>81</v>
      </c>
      <c r="B15" s="13" t="s">
        <v>12</v>
      </c>
      <c r="C15" s="13">
        <v>1</v>
      </c>
      <c r="D15" s="13">
        <v>2025</v>
      </c>
      <c r="E15" s="4">
        <f t="shared" si="0"/>
        <v>2025</v>
      </c>
      <c r="F15" s="13">
        <v>0</v>
      </c>
      <c r="G15" s="5">
        <f t="shared" si="1"/>
        <v>51790</v>
      </c>
    </row>
    <row r="16" spans="1:7" ht="15.6" x14ac:dyDescent="0.3">
      <c r="A16" s="5" t="s">
        <v>82</v>
      </c>
      <c r="B16" s="13" t="s">
        <v>17</v>
      </c>
      <c r="C16" s="13">
        <v>1</v>
      </c>
      <c r="D16" s="13">
        <v>2100</v>
      </c>
      <c r="E16" s="14">
        <f t="shared" si="0"/>
        <v>2100</v>
      </c>
      <c r="F16" s="13"/>
      <c r="G16" s="5">
        <f t="shared" si="1"/>
        <v>53890</v>
      </c>
    </row>
    <row r="17" spans="1:7" ht="15.6" x14ac:dyDescent="0.3">
      <c r="A17" s="5" t="s">
        <v>83</v>
      </c>
      <c r="B17" s="15" t="s">
        <v>53</v>
      </c>
      <c r="C17" s="15"/>
      <c r="D17" s="15"/>
      <c r="E17" s="4">
        <f t="shared" si="0"/>
        <v>0</v>
      </c>
      <c r="F17" s="15">
        <v>25000</v>
      </c>
      <c r="G17" s="5">
        <f t="shared" si="1"/>
        <v>28890</v>
      </c>
    </row>
    <row r="18" spans="1:7" ht="15.6" x14ac:dyDescent="0.3">
      <c r="A18" s="5"/>
      <c r="B18" s="15"/>
      <c r="C18" s="15"/>
      <c r="D18" s="15"/>
      <c r="E18" s="4"/>
      <c r="F18" s="15"/>
      <c r="G18" s="5"/>
    </row>
    <row r="19" spans="1:7" ht="15.6" x14ac:dyDescent="0.3">
      <c r="A19" s="18"/>
      <c r="B19" s="15"/>
      <c r="C19" s="15"/>
      <c r="D19" s="15"/>
      <c r="E19" s="4"/>
      <c r="F19" s="15"/>
      <c r="G19" s="5"/>
    </row>
    <row r="20" spans="1:7" ht="15.6" x14ac:dyDescent="0.3">
      <c r="A20" s="5"/>
      <c r="B20" s="15"/>
      <c r="C20" s="15"/>
      <c r="D20" s="15"/>
      <c r="E20" s="4"/>
      <c r="F20" s="15"/>
      <c r="G20" s="5"/>
    </row>
    <row r="21" spans="1:7" ht="15.6" x14ac:dyDescent="0.3">
      <c r="A21" s="5"/>
      <c r="B21" s="15"/>
      <c r="C21" s="15"/>
      <c r="D21" s="15"/>
      <c r="E21" s="4"/>
      <c r="F21" s="15"/>
      <c r="G21" s="5"/>
    </row>
    <row r="22" spans="1:7" ht="15.6" x14ac:dyDescent="0.3">
      <c r="A22" s="15"/>
      <c r="B22" s="17"/>
      <c r="C22" s="17"/>
      <c r="D22" s="17"/>
      <c r="E22" s="16"/>
      <c r="F22" s="17"/>
      <c r="G22" s="15"/>
    </row>
    <row r="23" spans="1:7" ht="28.8" x14ac:dyDescent="0.55000000000000004">
      <c r="A23" s="24" t="s">
        <v>86</v>
      </c>
      <c r="B23" s="24"/>
      <c r="C23" s="24"/>
      <c r="D23" s="24"/>
      <c r="E23" s="7">
        <f>SUM(E4:E22)</f>
        <v>83890</v>
      </c>
      <c r="F23" s="8">
        <f>SUM(F4:F22)</f>
        <v>55000</v>
      </c>
      <c r="G23" s="9">
        <f>E23-F23</f>
        <v>28890</v>
      </c>
    </row>
  </sheetData>
  <mergeCells count="3">
    <mergeCell ref="A1:G1"/>
    <mergeCell ref="A2:G2"/>
    <mergeCell ref="A23:D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37A2-4887-4B74-80E0-6CAB9C9A2B3D}">
  <dimension ref="A1:G23"/>
  <sheetViews>
    <sheetView topLeftCell="A7" workbookViewId="0">
      <selection activeCell="I19" sqref="I19"/>
    </sheetView>
  </sheetViews>
  <sheetFormatPr defaultRowHeight="14.4" x14ac:dyDescent="0.3"/>
  <cols>
    <col min="1" max="1" width="12.77734375" bestFit="1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84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28890</v>
      </c>
      <c r="F4" s="4"/>
      <c r="G4" s="5">
        <v>28890</v>
      </c>
    </row>
    <row r="5" spans="1:7" ht="15.6" x14ac:dyDescent="0.3">
      <c r="A5" s="5" t="s">
        <v>85</v>
      </c>
      <c r="B5" s="5" t="s">
        <v>12</v>
      </c>
      <c r="C5" s="5">
        <v>2</v>
      </c>
      <c r="D5" s="5">
        <v>2025</v>
      </c>
      <c r="E5" s="4">
        <f>C5*D5</f>
        <v>4050</v>
      </c>
      <c r="F5" s="5"/>
      <c r="G5" s="5">
        <f>G4+E5-F5</f>
        <v>32940</v>
      </c>
    </row>
    <row r="6" spans="1:7" ht="15.6" x14ac:dyDescent="0.3">
      <c r="A6" s="5" t="s">
        <v>87</v>
      </c>
      <c r="B6" s="5" t="s">
        <v>17</v>
      </c>
      <c r="C6" s="5">
        <v>1</v>
      </c>
      <c r="D6" s="5">
        <v>2100</v>
      </c>
      <c r="E6" s="4">
        <f t="shared" ref="E6:E17" si="0">C6*D6</f>
        <v>2100</v>
      </c>
      <c r="F6" s="5"/>
      <c r="G6" s="5">
        <f t="shared" ref="G6:G17" si="1">G5+E6-F6</f>
        <v>35040</v>
      </c>
    </row>
    <row r="7" spans="1:7" ht="15.6" x14ac:dyDescent="0.3">
      <c r="A7" s="5" t="s">
        <v>88</v>
      </c>
      <c r="B7" s="5" t="s">
        <v>12</v>
      </c>
      <c r="C7" s="5">
        <v>2</v>
      </c>
      <c r="D7" s="5">
        <v>2020</v>
      </c>
      <c r="E7" s="4">
        <f t="shared" si="0"/>
        <v>4040</v>
      </c>
      <c r="F7" s="5"/>
      <c r="G7" s="5">
        <f t="shared" si="1"/>
        <v>39080</v>
      </c>
    </row>
    <row r="8" spans="1:7" ht="15.6" x14ac:dyDescent="0.3">
      <c r="A8" s="5" t="s">
        <v>89</v>
      </c>
      <c r="B8" s="5" t="s">
        <v>12</v>
      </c>
      <c r="C8" s="5">
        <v>2</v>
      </c>
      <c r="D8" s="5">
        <v>2025</v>
      </c>
      <c r="E8" s="4">
        <f t="shared" si="0"/>
        <v>4050</v>
      </c>
      <c r="F8" s="5"/>
      <c r="G8" s="5">
        <f t="shared" si="1"/>
        <v>43130</v>
      </c>
    </row>
    <row r="9" spans="1:7" ht="15.6" x14ac:dyDescent="0.3">
      <c r="A9" s="5" t="s">
        <v>90</v>
      </c>
      <c r="B9" s="5" t="s">
        <v>14</v>
      </c>
      <c r="C9" s="5">
        <v>1</v>
      </c>
      <c r="D9" s="5">
        <v>3400</v>
      </c>
      <c r="E9" s="4">
        <f t="shared" si="0"/>
        <v>3400</v>
      </c>
      <c r="F9" s="5"/>
      <c r="G9" s="5">
        <f t="shared" si="1"/>
        <v>46530</v>
      </c>
    </row>
    <row r="10" spans="1:7" ht="15.6" x14ac:dyDescent="0.3">
      <c r="A10" s="5" t="s">
        <v>90</v>
      </c>
      <c r="B10" s="5" t="s">
        <v>12</v>
      </c>
      <c r="C10" s="5">
        <v>1</v>
      </c>
      <c r="D10" s="5">
        <v>2025</v>
      </c>
      <c r="E10" s="4">
        <f t="shared" si="0"/>
        <v>2025</v>
      </c>
      <c r="F10" s="13">
        <v>0</v>
      </c>
      <c r="G10" s="5">
        <f t="shared" si="1"/>
        <v>48555</v>
      </c>
    </row>
    <row r="11" spans="1:7" ht="15.6" x14ac:dyDescent="0.3">
      <c r="A11" s="5" t="s">
        <v>91</v>
      </c>
      <c r="B11" s="5" t="s">
        <v>12</v>
      </c>
      <c r="C11" s="5">
        <v>1</v>
      </c>
      <c r="D11" s="5">
        <v>2025</v>
      </c>
      <c r="E11" s="4">
        <f t="shared" si="0"/>
        <v>2025</v>
      </c>
      <c r="F11" s="5"/>
      <c r="G11" s="5">
        <f t="shared" si="1"/>
        <v>50580</v>
      </c>
    </row>
    <row r="12" spans="1:7" ht="15.6" x14ac:dyDescent="0.3">
      <c r="A12" s="5" t="s">
        <v>92</v>
      </c>
      <c r="B12" s="5" t="s">
        <v>17</v>
      </c>
      <c r="C12" s="5">
        <v>1</v>
      </c>
      <c r="D12" s="5">
        <v>2100</v>
      </c>
      <c r="E12" s="4">
        <f t="shared" si="0"/>
        <v>2100</v>
      </c>
      <c r="F12" s="5"/>
      <c r="G12" s="5">
        <f t="shared" si="1"/>
        <v>52680</v>
      </c>
    </row>
    <row r="13" spans="1:7" ht="15.6" x14ac:dyDescent="0.3">
      <c r="A13" s="5" t="s">
        <v>92</v>
      </c>
      <c r="B13" s="5" t="s">
        <v>12</v>
      </c>
      <c r="C13" s="5">
        <v>2</v>
      </c>
      <c r="D13" s="5">
        <v>2025</v>
      </c>
      <c r="E13" s="4">
        <f t="shared" si="0"/>
        <v>4050</v>
      </c>
      <c r="F13" s="5"/>
      <c r="G13" s="5">
        <f t="shared" si="1"/>
        <v>56730</v>
      </c>
    </row>
    <row r="14" spans="1:7" ht="15.6" x14ac:dyDescent="0.3">
      <c r="A14" s="5" t="s">
        <v>94</v>
      </c>
      <c r="B14" s="5" t="s">
        <v>95</v>
      </c>
      <c r="C14" s="5"/>
      <c r="D14" s="5"/>
      <c r="E14" s="4">
        <f t="shared" si="0"/>
        <v>0</v>
      </c>
      <c r="F14" s="5">
        <v>25000</v>
      </c>
      <c r="G14" s="5">
        <f t="shared" si="1"/>
        <v>31730</v>
      </c>
    </row>
    <row r="15" spans="1:7" ht="15.6" x14ac:dyDescent="0.3">
      <c r="A15" s="5" t="s">
        <v>96</v>
      </c>
      <c r="B15" s="13" t="s">
        <v>63</v>
      </c>
      <c r="C15" s="13">
        <v>2</v>
      </c>
      <c r="D15" s="13">
        <v>2025</v>
      </c>
      <c r="E15" s="4">
        <f t="shared" si="0"/>
        <v>4050</v>
      </c>
      <c r="F15" s="13">
        <v>0</v>
      </c>
      <c r="G15" s="5">
        <f t="shared" si="1"/>
        <v>35780</v>
      </c>
    </row>
    <row r="16" spans="1:7" ht="15.6" x14ac:dyDescent="0.3">
      <c r="A16" s="5" t="s">
        <v>97</v>
      </c>
      <c r="B16" s="13" t="s">
        <v>98</v>
      </c>
      <c r="C16" s="13">
        <v>1</v>
      </c>
      <c r="D16" s="13">
        <v>2100</v>
      </c>
      <c r="E16" s="14">
        <f t="shared" si="0"/>
        <v>2100</v>
      </c>
      <c r="F16" s="13"/>
      <c r="G16" s="5">
        <f t="shared" si="1"/>
        <v>37880</v>
      </c>
    </row>
    <row r="17" spans="1:7" ht="15.6" x14ac:dyDescent="0.3">
      <c r="A17" s="5"/>
      <c r="B17" s="15"/>
      <c r="C17" s="15"/>
      <c r="D17" s="15"/>
      <c r="E17" s="4">
        <f t="shared" si="0"/>
        <v>0</v>
      </c>
      <c r="F17" s="15"/>
      <c r="G17" s="5">
        <f t="shared" si="1"/>
        <v>37880</v>
      </c>
    </row>
    <row r="18" spans="1:7" ht="15.6" x14ac:dyDescent="0.3">
      <c r="A18" s="5"/>
      <c r="B18" s="15"/>
      <c r="C18" s="15"/>
      <c r="D18" s="15"/>
      <c r="E18" s="4"/>
      <c r="F18" s="15"/>
      <c r="G18" s="5"/>
    </row>
    <row r="19" spans="1:7" ht="15.6" x14ac:dyDescent="0.3">
      <c r="A19" s="18"/>
      <c r="B19" s="15"/>
      <c r="C19" s="15"/>
      <c r="D19" s="15"/>
      <c r="E19" s="4"/>
      <c r="F19" s="15"/>
      <c r="G19" s="5"/>
    </row>
    <row r="20" spans="1:7" ht="15.6" x14ac:dyDescent="0.3">
      <c r="A20" s="5"/>
      <c r="B20" s="15"/>
      <c r="C20" s="15"/>
      <c r="D20" s="15"/>
      <c r="E20" s="4"/>
      <c r="F20" s="15"/>
      <c r="G20" s="5"/>
    </row>
    <row r="21" spans="1:7" ht="15.6" x14ac:dyDescent="0.3">
      <c r="A21" s="5"/>
      <c r="B21" s="15"/>
      <c r="C21" s="15"/>
      <c r="D21" s="15"/>
      <c r="E21" s="4"/>
      <c r="F21" s="15"/>
      <c r="G21" s="5"/>
    </row>
    <row r="22" spans="1:7" ht="15.6" x14ac:dyDescent="0.3">
      <c r="A22" s="15"/>
      <c r="B22" s="17"/>
      <c r="C22" s="17"/>
      <c r="D22" s="17"/>
      <c r="E22" s="16"/>
      <c r="F22" s="17"/>
      <c r="G22" s="15"/>
    </row>
    <row r="23" spans="1:7" ht="28.8" x14ac:dyDescent="0.55000000000000004">
      <c r="A23" s="24" t="s">
        <v>93</v>
      </c>
      <c r="B23" s="24"/>
      <c r="C23" s="24"/>
      <c r="D23" s="24"/>
      <c r="E23" s="7">
        <f>SUM(E4:E22)</f>
        <v>62880</v>
      </c>
      <c r="F23" s="8">
        <f>SUM(F4:F22)</f>
        <v>25000</v>
      </c>
      <c r="G23" s="9">
        <f>E23-F23</f>
        <v>37880</v>
      </c>
    </row>
  </sheetData>
  <mergeCells count="3">
    <mergeCell ref="A1:G1"/>
    <mergeCell ref="A2:G2"/>
    <mergeCell ref="A23:D23"/>
  </mergeCells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D9E5-8C20-43A0-AD99-185CC898F645}">
  <dimension ref="A1:G23"/>
  <sheetViews>
    <sheetView topLeftCell="A7" workbookViewId="0">
      <selection activeCell="R28" sqref="R28"/>
    </sheetView>
  </sheetViews>
  <sheetFormatPr defaultRowHeight="14.4" x14ac:dyDescent="0.3"/>
  <cols>
    <col min="1" max="1" width="12.77734375" bestFit="1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99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37880</v>
      </c>
      <c r="F4" s="4"/>
      <c r="G4" s="5">
        <v>37880</v>
      </c>
    </row>
    <row r="5" spans="1:7" ht="15.6" x14ac:dyDescent="0.3">
      <c r="A5" s="5" t="s">
        <v>100</v>
      </c>
      <c r="B5" s="5" t="s">
        <v>12</v>
      </c>
      <c r="C5" s="5">
        <v>1</v>
      </c>
      <c r="D5" s="5">
        <v>2025</v>
      </c>
      <c r="E5" s="4">
        <f>C5*D5</f>
        <v>2025</v>
      </c>
      <c r="F5" s="5"/>
      <c r="G5" s="5">
        <f>G4+E5-F5</f>
        <v>39905</v>
      </c>
    </row>
    <row r="6" spans="1:7" ht="15.6" x14ac:dyDescent="0.3">
      <c r="A6" s="5" t="s">
        <v>101</v>
      </c>
      <c r="B6" s="5" t="s">
        <v>12</v>
      </c>
      <c r="C6" s="5">
        <v>3</v>
      </c>
      <c r="D6" s="5">
        <v>2025</v>
      </c>
      <c r="E6" s="4">
        <f t="shared" ref="E6:E8" si="0">C6*D6</f>
        <v>6075</v>
      </c>
      <c r="F6" s="5"/>
      <c r="G6" s="5">
        <f t="shared" ref="G6:G9" si="1">G5+E6-F6</f>
        <v>45980</v>
      </c>
    </row>
    <row r="7" spans="1:7" ht="15.6" x14ac:dyDescent="0.3">
      <c r="A7" s="5" t="s">
        <v>102</v>
      </c>
      <c r="B7" s="5" t="s">
        <v>95</v>
      </c>
      <c r="C7" s="5"/>
      <c r="D7" s="5"/>
      <c r="E7" s="4"/>
      <c r="F7" s="5">
        <v>25000</v>
      </c>
      <c r="G7" s="5">
        <f t="shared" si="1"/>
        <v>20980</v>
      </c>
    </row>
    <row r="8" spans="1:7" ht="15.6" x14ac:dyDescent="0.3">
      <c r="A8" s="5" t="s">
        <v>103</v>
      </c>
      <c r="B8" s="5" t="s">
        <v>12</v>
      </c>
      <c r="C8" s="5">
        <v>2</v>
      </c>
      <c r="D8" s="5">
        <v>2025</v>
      </c>
      <c r="E8" s="4">
        <f t="shared" si="0"/>
        <v>4050</v>
      </c>
      <c r="F8" s="5"/>
      <c r="G8" s="5">
        <f t="shared" si="1"/>
        <v>25030</v>
      </c>
    </row>
    <row r="9" spans="1:7" ht="15.6" x14ac:dyDescent="0.3">
      <c r="A9" s="5" t="s">
        <v>108</v>
      </c>
      <c r="B9" s="19" t="s">
        <v>95</v>
      </c>
      <c r="F9">
        <v>10000</v>
      </c>
      <c r="G9" s="5">
        <f t="shared" si="1"/>
        <v>15030</v>
      </c>
    </row>
    <row r="10" spans="1:7" ht="15.6" x14ac:dyDescent="0.3">
      <c r="A10" s="5" t="s">
        <v>104</v>
      </c>
      <c r="B10" s="5" t="s">
        <v>105</v>
      </c>
      <c r="C10" s="5">
        <v>1</v>
      </c>
      <c r="D10" s="5">
        <v>2100</v>
      </c>
      <c r="E10" s="4">
        <f>C10*D10</f>
        <v>2100</v>
      </c>
      <c r="F10" s="5"/>
      <c r="G10" s="5">
        <f>G9+E10-F10</f>
        <v>17130</v>
      </c>
    </row>
    <row r="11" spans="1:7" ht="15.6" x14ac:dyDescent="0.3">
      <c r="A11" s="5" t="s">
        <v>104</v>
      </c>
      <c r="B11" s="5" t="s">
        <v>12</v>
      </c>
      <c r="C11" s="5">
        <v>1</v>
      </c>
      <c r="D11" s="5">
        <v>2025</v>
      </c>
      <c r="E11" s="4">
        <f>C11*D11</f>
        <v>2025</v>
      </c>
      <c r="F11" s="13">
        <v>0</v>
      </c>
      <c r="G11" s="5">
        <f>G10+E11-F11</f>
        <v>19155</v>
      </c>
    </row>
    <row r="12" spans="1:7" ht="15.6" x14ac:dyDescent="0.3">
      <c r="A12" s="5" t="s">
        <v>106</v>
      </c>
      <c r="B12" s="5" t="s">
        <v>12</v>
      </c>
      <c r="C12" s="5">
        <v>1</v>
      </c>
      <c r="D12" s="5">
        <v>2025</v>
      </c>
      <c r="E12" s="4">
        <f>C12*D12</f>
        <v>2025</v>
      </c>
      <c r="F12" s="5"/>
      <c r="G12" s="5">
        <f>G11+E12-F12</f>
        <v>21180</v>
      </c>
    </row>
    <row r="13" spans="1:7" ht="15.6" x14ac:dyDescent="0.3">
      <c r="A13" s="5" t="s">
        <v>107</v>
      </c>
      <c r="B13" s="5" t="s">
        <v>12</v>
      </c>
      <c r="C13" s="5">
        <v>2</v>
      </c>
      <c r="D13" s="5">
        <v>2025</v>
      </c>
      <c r="E13" s="4">
        <f>C13*D13</f>
        <v>4050</v>
      </c>
      <c r="F13" s="5"/>
      <c r="G13" s="5">
        <f>G12+E13-F13</f>
        <v>25230</v>
      </c>
    </row>
    <row r="14" spans="1:7" ht="15.6" x14ac:dyDescent="0.3">
      <c r="A14" s="5"/>
      <c r="B14" s="5"/>
      <c r="C14" s="5"/>
      <c r="D14" s="5"/>
      <c r="E14" s="4"/>
      <c r="F14" s="5"/>
      <c r="G14" s="5"/>
    </row>
    <row r="15" spans="1:7" ht="15.6" x14ac:dyDescent="0.3">
      <c r="A15" s="5"/>
      <c r="B15" s="13"/>
      <c r="C15" s="13"/>
      <c r="D15" s="13"/>
      <c r="E15" s="4"/>
      <c r="F15" s="13"/>
      <c r="G15" s="5"/>
    </row>
    <row r="16" spans="1:7" ht="15.6" x14ac:dyDescent="0.3">
      <c r="A16" s="5"/>
      <c r="B16" s="13"/>
      <c r="C16" s="13"/>
      <c r="D16" s="13"/>
      <c r="E16" s="14"/>
      <c r="F16" s="13"/>
      <c r="G16" s="5"/>
    </row>
    <row r="17" spans="1:7" ht="15.6" x14ac:dyDescent="0.3">
      <c r="A17" s="5"/>
      <c r="B17" s="15"/>
      <c r="C17" s="15"/>
      <c r="D17" s="15"/>
      <c r="E17" s="4"/>
      <c r="F17" s="15"/>
      <c r="G17" s="5"/>
    </row>
    <row r="18" spans="1:7" ht="15.6" x14ac:dyDescent="0.3">
      <c r="A18" s="5"/>
      <c r="B18" s="15"/>
      <c r="C18" s="15"/>
      <c r="D18" s="15"/>
      <c r="E18" s="4"/>
      <c r="F18" s="15"/>
      <c r="G18" s="5"/>
    </row>
    <row r="19" spans="1:7" ht="15.6" x14ac:dyDescent="0.3">
      <c r="A19" s="18"/>
      <c r="B19" s="15"/>
      <c r="C19" s="15"/>
      <c r="D19" s="15"/>
      <c r="E19" s="4"/>
      <c r="F19" s="15"/>
      <c r="G19" s="5"/>
    </row>
    <row r="20" spans="1:7" ht="15.6" x14ac:dyDescent="0.3">
      <c r="A20" s="5"/>
      <c r="B20" s="15"/>
      <c r="C20" s="15"/>
      <c r="D20" s="15"/>
      <c r="E20" s="4"/>
      <c r="F20" s="15"/>
      <c r="G20" s="5"/>
    </row>
    <row r="21" spans="1:7" ht="15.6" x14ac:dyDescent="0.3">
      <c r="A21" s="5"/>
      <c r="B21" s="15"/>
      <c r="C21" s="15"/>
      <c r="D21" s="15"/>
      <c r="E21" s="4"/>
      <c r="F21" s="15"/>
      <c r="G21" s="5"/>
    </row>
    <row r="22" spans="1:7" ht="15.6" x14ac:dyDescent="0.3">
      <c r="A22" s="15"/>
      <c r="B22" s="17"/>
      <c r="C22" s="17"/>
      <c r="D22" s="17"/>
      <c r="E22" s="16"/>
      <c r="F22" s="17"/>
      <c r="G22" s="15"/>
    </row>
    <row r="23" spans="1:7" ht="28.8" x14ac:dyDescent="0.55000000000000004">
      <c r="A23" s="24" t="s">
        <v>124</v>
      </c>
      <c r="B23" s="24"/>
      <c r="C23" s="24"/>
      <c r="D23" s="24"/>
      <c r="E23" s="7">
        <f>SUM(E4:E22)</f>
        <v>60230</v>
      </c>
      <c r="F23" s="8">
        <f>SUM(F4:F22)</f>
        <v>35000</v>
      </c>
      <c r="G23" s="9">
        <f>E23-F23</f>
        <v>25230</v>
      </c>
    </row>
  </sheetData>
  <mergeCells count="3">
    <mergeCell ref="A1:G1"/>
    <mergeCell ref="A2:G2"/>
    <mergeCell ref="A23:D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DC35-1328-4FF7-8BC2-1C3BA9E37BF4}">
  <dimension ref="A1:G23"/>
  <sheetViews>
    <sheetView zoomScale="85" zoomScaleNormal="85" workbookViewId="0">
      <selection activeCell="E26" sqref="E26"/>
    </sheetView>
  </sheetViews>
  <sheetFormatPr defaultRowHeight="14.4" x14ac:dyDescent="0.3"/>
  <cols>
    <col min="1" max="1" width="12.77734375" bestFit="1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115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25230</v>
      </c>
      <c r="F4" s="4"/>
      <c r="G4" s="5">
        <f>E4</f>
        <v>25230</v>
      </c>
    </row>
    <row r="5" spans="1:7" ht="15.6" x14ac:dyDescent="0.3">
      <c r="A5" s="5" t="s">
        <v>109</v>
      </c>
      <c r="B5" s="5" t="s">
        <v>12</v>
      </c>
      <c r="C5" s="5">
        <v>1</v>
      </c>
      <c r="D5" s="5">
        <v>2025</v>
      </c>
      <c r="E5" s="4">
        <f>C5*D5</f>
        <v>2025</v>
      </c>
      <c r="F5" s="5"/>
      <c r="G5" s="5">
        <f>G4+E5-F5</f>
        <v>27255</v>
      </c>
    </row>
    <row r="6" spans="1:7" ht="15.6" x14ac:dyDescent="0.3">
      <c r="A6" s="5" t="s">
        <v>110</v>
      </c>
      <c r="B6" s="5" t="s">
        <v>12</v>
      </c>
      <c r="C6" s="5">
        <v>1</v>
      </c>
      <c r="D6" s="5">
        <v>2025</v>
      </c>
      <c r="E6" s="4">
        <f t="shared" ref="E6:E22" si="0">C6*D6</f>
        <v>2025</v>
      </c>
      <c r="F6" s="5"/>
      <c r="G6" s="5">
        <f t="shared" ref="G6" si="1">G5+E6-F6</f>
        <v>29280</v>
      </c>
    </row>
    <row r="7" spans="1:7" ht="15.6" x14ac:dyDescent="0.3">
      <c r="A7" s="5" t="s">
        <v>111</v>
      </c>
      <c r="B7" s="5" t="s">
        <v>121</v>
      </c>
      <c r="C7" s="5"/>
      <c r="D7" s="5"/>
      <c r="E7" s="4"/>
      <c r="F7" s="5">
        <v>15000</v>
      </c>
      <c r="G7" s="5">
        <f>G6+E7-F7</f>
        <v>14280</v>
      </c>
    </row>
    <row r="8" spans="1:7" ht="15.6" x14ac:dyDescent="0.3">
      <c r="A8" s="5" t="s">
        <v>111</v>
      </c>
      <c r="B8" s="5" t="s">
        <v>12</v>
      </c>
      <c r="C8" s="5">
        <v>2</v>
      </c>
      <c r="D8" s="5">
        <v>2025</v>
      </c>
      <c r="E8" s="4">
        <f t="shared" si="0"/>
        <v>4050</v>
      </c>
      <c r="F8" s="5"/>
      <c r="G8" s="5">
        <f>G7+E8-F8</f>
        <v>18330</v>
      </c>
    </row>
    <row r="9" spans="1:7" ht="15.6" x14ac:dyDescent="0.3">
      <c r="A9" s="5" t="s">
        <v>112</v>
      </c>
      <c r="B9" s="5" t="s">
        <v>12</v>
      </c>
      <c r="C9" s="5">
        <v>2</v>
      </c>
      <c r="D9" s="5">
        <v>2025</v>
      </c>
      <c r="E9" s="4">
        <f t="shared" si="0"/>
        <v>4050</v>
      </c>
      <c r="F9" s="5"/>
      <c r="G9" s="5">
        <f>G8+E9-F9</f>
        <v>22380</v>
      </c>
    </row>
    <row r="10" spans="1:7" ht="15.6" x14ac:dyDescent="0.3">
      <c r="A10" s="5" t="s">
        <v>113</v>
      </c>
      <c r="B10" s="5" t="s">
        <v>12</v>
      </c>
      <c r="C10" s="5">
        <v>2</v>
      </c>
      <c r="D10" s="5">
        <v>2025</v>
      </c>
      <c r="E10" s="4">
        <f t="shared" si="0"/>
        <v>4050</v>
      </c>
      <c r="F10" s="13"/>
      <c r="G10" s="5">
        <f t="shared" ref="G10:G22" si="2">G9+E10-F10</f>
        <v>26430</v>
      </c>
    </row>
    <row r="11" spans="1:7" ht="15.6" x14ac:dyDescent="0.3">
      <c r="A11" s="5" t="s">
        <v>114</v>
      </c>
      <c r="B11" s="5" t="s">
        <v>63</v>
      </c>
      <c r="C11" s="5">
        <v>1</v>
      </c>
      <c r="D11" s="5">
        <v>2025</v>
      </c>
      <c r="E11" s="4">
        <f t="shared" si="0"/>
        <v>2025</v>
      </c>
      <c r="F11" s="5"/>
      <c r="G11" s="5">
        <f t="shared" si="2"/>
        <v>28455</v>
      </c>
    </row>
    <row r="12" spans="1:7" ht="15.6" x14ac:dyDescent="0.3">
      <c r="A12" s="5" t="s">
        <v>116</v>
      </c>
      <c r="B12" s="5" t="s">
        <v>12</v>
      </c>
      <c r="C12" s="5">
        <v>2</v>
      </c>
      <c r="D12" s="5">
        <v>2025</v>
      </c>
      <c r="E12" s="4">
        <f t="shared" si="0"/>
        <v>4050</v>
      </c>
      <c r="F12" s="5"/>
      <c r="G12" s="5">
        <f t="shared" si="2"/>
        <v>32505</v>
      </c>
    </row>
    <row r="13" spans="1:7" ht="15.6" x14ac:dyDescent="0.3">
      <c r="A13" s="5" t="s">
        <v>116</v>
      </c>
      <c r="B13" s="5" t="s">
        <v>53</v>
      </c>
      <c r="C13" s="5"/>
      <c r="D13" s="5"/>
      <c r="E13" s="4">
        <f t="shared" si="0"/>
        <v>0</v>
      </c>
      <c r="F13" s="5">
        <v>10000</v>
      </c>
      <c r="G13" s="5">
        <f t="shared" si="2"/>
        <v>22505</v>
      </c>
    </row>
    <row r="14" spans="1:7" ht="15.6" x14ac:dyDescent="0.3">
      <c r="A14" s="5" t="s">
        <v>117</v>
      </c>
      <c r="B14" s="5" t="s">
        <v>12</v>
      </c>
      <c r="C14" s="5">
        <v>2</v>
      </c>
      <c r="D14" s="5">
        <v>2025</v>
      </c>
      <c r="E14" s="4">
        <f t="shared" si="0"/>
        <v>4050</v>
      </c>
      <c r="F14" s="5"/>
      <c r="G14" s="5">
        <f t="shared" si="2"/>
        <v>26555</v>
      </c>
    </row>
    <row r="15" spans="1:7" ht="15.6" x14ac:dyDescent="0.3">
      <c r="A15" s="5" t="s">
        <v>118</v>
      </c>
      <c r="B15" s="13" t="s">
        <v>12</v>
      </c>
      <c r="C15" s="13">
        <v>2</v>
      </c>
      <c r="D15" s="13">
        <v>2025</v>
      </c>
      <c r="E15" s="4">
        <f t="shared" si="0"/>
        <v>4050</v>
      </c>
      <c r="F15" s="13"/>
      <c r="G15" s="5">
        <f t="shared" si="2"/>
        <v>30605</v>
      </c>
    </row>
    <row r="16" spans="1:7" ht="15.6" x14ac:dyDescent="0.3">
      <c r="A16" s="5" t="s">
        <v>119</v>
      </c>
      <c r="B16" s="13" t="s">
        <v>120</v>
      </c>
      <c r="C16" s="13"/>
      <c r="D16" s="13"/>
      <c r="E16" s="4">
        <f t="shared" si="0"/>
        <v>0</v>
      </c>
      <c r="F16" s="13">
        <v>15000</v>
      </c>
      <c r="G16" s="5">
        <f t="shared" si="2"/>
        <v>15605</v>
      </c>
    </row>
    <row r="17" spans="1:7" ht="15.6" x14ac:dyDescent="0.3">
      <c r="A17" s="5" t="s">
        <v>122</v>
      </c>
      <c r="B17" s="15" t="s">
        <v>12</v>
      </c>
      <c r="C17" s="15">
        <v>2</v>
      </c>
      <c r="D17" s="15">
        <v>2025</v>
      </c>
      <c r="E17" s="4">
        <f t="shared" si="0"/>
        <v>4050</v>
      </c>
      <c r="F17" s="15"/>
      <c r="G17" s="5">
        <f t="shared" si="2"/>
        <v>19655</v>
      </c>
    </row>
    <row r="18" spans="1:7" ht="15.6" x14ac:dyDescent="0.3">
      <c r="A18" s="5" t="s">
        <v>123</v>
      </c>
      <c r="B18" s="15" t="s">
        <v>12</v>
      </c>
      <c r="C18" s="15">
        <v>2</v>
      </c>
      <c r="D18" s="15">
        <v>2025</v>
      </c>
      <c r="E18" s="4">
        <f t="shared" si="0"/>
        <v>4050</v>
      </c>
      <c r="F18" s="15"/>
      <c r="G18" s="5">
        <f t="shared" si="2"/>
        <v>23705</v>
      </c>
    </row>
    <row r="19" spans="1:7" ht="15.6" x14ac:dyDescent="0.3">
      <c r="A19" s="5" t="s">
        <v>125</v>
      </c>
      <c r="B19" s="15" t="s">
        <v>63</v>
      </c>
      <c r="C19" s="15">
        <v>2</v>
      </c>
      <c r="D19" s="15">
        <v>2025</v>
      </c>
      <c r="E19" s="4">
        <f t="shared" si="0"/>
        <v>4050</v>
      </c>
      <c r="F19" s="15"/>
      <c r="G19" s="5">
        <f t="shared" si="2"/>
        <v>27755</v>
      </c>
    </row>
    <row r="20" spans="1:7" ht="15.6" x14ac:dyDescent="0.3">
      <c r="A20" s="5" t="s">
        <v>126</v>
      </c>
      <c r="B20" s="15" t="s">
        <v>63</v>
      </c>
      <c r="C20" s="15">
        <v>1</v>
      </c>
      <c r="D20" s="15">
        <v>2025</v>
      </c>
      <c r="E20" s="4">
        <f t="shared" si="0"/>
        <v>2025</v>
      </c>
      <c r="F20" s="15"/>
      <c r="G20" s="5">
        <f t="shared" si="2"/>
        <v>29780</v>
      </c>
    </row>
    <row r="21" spans="1:7" ht="15.6" x14ac:dyDescent="0.3">
      <c r="A21" s="5" t="s">
        <v>127</v>
      </c>
      <c r="B21" s="15" t="s">
        <v>12</v>
      </c>
      <c r="C21" s="15">
        <v>2</v>
      </c>
      <c r="D21" s="15">
        <v>2025</v>
      </c>
      <c r="E21" s="4">
        <f t="shared" si="0"/>
        <v>4050</v>
      </c>
      <c r="F21" s="15"/>
      <c r="G21" s="5">
        <f t="shared" si="2"/>
        <v>33830</v>
      </c>
    </row>
    <row r="22" spans="1:7" ht="15.6" x14ac:dyDescent="0.3">
      <c r="A22" s="5" t="s">
        <v>131</v>
      </c>
      <c r="B22" s="17" t="s">
        <v>12</v>
      </c>
      <c r="C22" s="17">
        <v>2</v>
      </c>
      <c r="D22" s="17">
        <v>2025</v>
      </c>
      <c r="E22" s="4">
        <f t="shared" si="0"/>
        <v>4050</v>
      </c>
      <c r="F22" s="17"/>
      <c r="G22" s="5">
        <f t="shared" si="2"/>
        <v>37880</v>
      </c>
    </row>
    <row r="23" spans="1:7" ht="28.8" x14ac:dyDescent="0.55000000000000004">
      <c r="A23" s="25" t="s">
        <v>128</v>
      </c>
      <c r="B23" s="25"/>
      <c r="C23" s="25"/>
      <c r="D23" s="25"/>
      <c r="E23" s="7">
        <f>SUM(E4:E22)</f>
        <v>77880</v>
      </c>
      <c r="F23" s="8">
        <f>SUM(F4:F22)</f>
        <v>40000</v>
      </c>
      <c r="G23" s="9">
        <f>E23-F23</f>
        <v>37880</v>
      </c>
    </row>
  </sheetData>
  <mergeCells count="3">
    <mergeCell ref="A1:G1"/>
    <mergeCell ref="A2:G2"/>
    <mergeCell ref="A23:D2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7CE6-96CB-44C4-92BE-B207D236CA95}">
  <dimension ref="A1:G25"/>
  <sheetViews>
    <sheetView tabSelected="1" zoomScale="85" zoomScaleNormal="85" workbookViewId="0">
      <selection activeCell="B19" sqref="B19"/>
    </sheetView>
  </sheetViews>
  <sheetFormatPr defaultRowHeight="14.4" x14ac:dyDescent="0.3"/>
  <cols>
    <col min="1" max="1" width="17.6640625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129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37880</v>
      </c>
      <c r="F4" s="4"/>
      <c r="G4" s="5">
        <f>E4</f>
        <v>37880</v>
      </c>
    </row>
    <row r="5" spans="1:7" ht="15.6" x14ac:dyDescent="0.3">
      <c r="A5" s="18" t="s">
        <v>132</v>
      </c>
      <c r="B5" s="5" t="s">
        <v>63</v>
      </c>
      <c r="C5" s="5">
        <v>2</v>
      </c>
      <c r="D5" s="5">
        <v>2025</v>
      </c>
      <c r="E5" s="4">
        <f>C5*D5</f>
        <v>4050</v>
      </c>
      <c r="F5" s="5"/>
      <c r="G5" s="5">
        <f>G4+E5-F5</f>
        <v>41930</v>
      </c>
    </row>
    <row r="6" spans="1:7" ht="15.6" x14ac:dyDescent="0.3">
      <c r="A6" s="18" t="s">
        <v>133</v>
      </c>
      <c r="B6" s="5" t="s">
        <v>12</v>
      </c>
      <c r="C6" s="5">
        <v>1</v>
      </c>
      <c r="D6" s="5">
        <v>2025</v>
      </c>
      <c r="E6" s="4">
        <f>C6*D6</f>
        <v>2025</v>
      </c>
      <c r="F6" s="5"/>
      <c r="G6" s="5">
        <f t="shared" ref="G6:G15" si="0">G5+E6-F6</f>
        <v>43955</v>
      </c>
    </row>
    <row r="7" spans="1:7" ht="15.6" x14ac:dyDescent="0.3">
      <c r="A7" s="18" t="s">
        <v>133</v>
      </c>
      <c r="B7" s="19" t="s">
        <v>141</v>
      </c>
      <c r="F7">
        <v>20000</v>
      </c>
      <c r="G7" s="5">
        <f t="shared" si="0"/>
        <v>23955</v>
      </c>
    </row>
    <row r="8" spans="1:7" ht="15.6" x14ac:dyDescent="0.3">
      <c r="A8" s="18" t="s">
        <v>134</v>
      </c>
      <c r="B8" s="5" t="s">
        <v>12</v>
      </c>
      <c r="C8" s="5">
        <v>2</v>
      </c>
      <c r="D8" s="5">
        <v>2025</v>
      </c>
      <c r="E8" s="4">
        <f t="shared" ref="E8:E15" si="1">C8*D8</f>
        <v>4050</v>
      </c>
      <c r="F8" s="5"/>
      <c r="G8" s="5">
        <f t="shared" si="0"/>
        <v>28005</v>
      </c>
    </row>
    <row r="9" spans="1:7" ht="15.6" x14ac:dyDescent="0.3">
      <c r="A9" s="18" t="s">
        <v>135</v>
      </c>
      <c r="B9" s="5" t="s">
        <v>12</v>
      </c>
      <c r="C9" s="5">
        <v>2</v>
      </c>
      <c r="D9" s="5">
        <v>2025</v>
      </c>
      <c r="E9" s="4">
        <f t="shared" si="1"/>
        <v>4050</v>
      </c>
      <c r="F9" s="5"/>
      <c r="G9" s="5">
        <f t="shared" si="0"/>
        <v>32055</v>
      </c>
    </row>
    <row r="10" spans="1:7" ht="15.6" x14ac:dyDescent="0.3">
      <c r="A10" s="18" t="s">
        <v>136</v>
      </c>
      <c r="B10" s="5" t="s">
        <v>12</v>
      </c>
      <c r="C10" s="5">
        <v>1</v>
      </c>
      <c r="D10" s="5">
        <v>2025</v>
      </c>
      <c r="E10" s="4">
        <f t="shared" si="1"/>
        <v>2025</v>
      </c>
      <c r="F10" s="5"/>
      <c r="G10" s="5">
        <f t="shared" si="0"/>
        <v>34080</v>
      </c>
    </row>
    <row r="11" spans="1:7" ht="15.6" x14ac:dyDescent="0.3">
      <c r="A11" s="18" t="s">
        <v>137</v>
      </c>
      <c r="B11" s="5" t="s">
        <v>12</v>
      </c>
      <c r="C11" s="5">
        <v>1</v>
      </c>
      <c r="D11" s="5">
        <v>2025</v>
      </c>
      <c r="E11" s="4">
        <f t="shared" si="1"/>
        <v>2025</v>
      </c>
      <c r="F11" s="13"/>
      <c r="G11" s="5">
        <f t="shared" si="0"/>
        <v>36105</v>
      </c>
    </row>
    <row r="12" spans="1:7" ht="15.6" x14ac:dyDescent="0.3">
      <c r="A12" s="18" t="s">
        <v>142</v>
      </c>
      <c r="B12" s="5" t="s">
        <v>141</v>
      </c>
      <c r="C12" s="5"/>
      <c r="D12" s="5"/>
      <c r="E12" s="4"/>
      <c r="F12" s="13">
        <v>20000</v>
      </c>
      <c r="G12" s="5">
        <f t="shared" si="0"/>
        <v>16105</v>
      </c>
    </row>
    <row r="13" spans="1:7" ht="15.6" x14ac:dyDescent="0.3">
      <c r="A13" s="18" t="s">
        <v>138</v>
      </c>
      <c r="B13" s="5" t="s">
        <v>12</v>
      </c>
      <c r="C13" s="5">
        <v>1</v>
      </c>
      <c r="D13" s="5">
        <v>2025</v>
      </c>
      <c r="E13" s="4">
        <f t="shared" si="1"/>
        <v>2025</v>
      </c>
      <c r="F13" s="5"/>
      <c r="G13" s="5">
        <f t="shared" si="0"/>
        <v>18130</v>
      </c>
    </row>
    <row r="14" spans="1:7" ht="15.6" x14ac:dyDescent="0.3">
      <c r="A14" s="18" t="s">
        <v>139</v>
      </c>
      <c r="B14" s="5" t="s">
        <v>12</v>
      </c>
      <c r="C14" s="5">
        <v>2</v>
      </c>
      <c r="D14" s="5">
        <v>2025</v>
      </c>
      <c r="E14" s="4">
        <f t="shared" si="1"/>
        <v>4050</v>
      </c>
      <c r="F14" s="5"/>
      <c r="G14" s="5">
        <f t="shared" si="0"/>
        <v>22180</v>
      </c>
    </row>
    <row r="15" spans="1:7" ht="15.6" x14ac:dyDescent="0.3">
      <c r="A15" s="18" t="s">
        <v>140</v>
      </c>
      <c r="B15" s="5" t="s">
        <v>12</v>
      </c>
      <c r="C15" s="5">
        <v>2</v>
      </c>
      <c r="D15" s="5">
        <v>2025</v>
      </c>
      <c r="E15" s="4">
        <f t="shared" si="1"/>
        <v>4050</v>
      </c>
      <c r="F15" s="5"/>
      <c r="G15" s="5">
        <f t="shared" si="0"/>
        <v>26230</v>
      </c>
    </row>
    <row r="16" spans="1:7" ht="15.6" x14ac:dyDescent="0.3">
      <c r="A16" s="5" t="s">
        <v>143</v>
      </c>
      <c r="B16" s="5" t="s">
        <v>141</v>
      </c>
      <c r="C16" s="5"/>
      <c r="D16" s="5"/>
      <c r="E16" s="4"/>
      <c r="F16" s="5">
        <v>10000</v>
      </c>
      <c r="G16" s="5"/>
    </row>
    <row r="17" spans="1:7" ht="15.6" x14ac:dyDescent="0.3">
      <c r="A17" s="5" t="s">
        <v>144</v>
      </c>
      <c r="B17" s="5" t="s">
        <v>141</v>
      </c>
      <c r="C17" s="13"/>
      <c r="D17" s="13"/>
      <c r="E17" s="4"/>
      <c r="F17" s="13">
        <v>10000</v>
      </c>
      <c r="G17" s="5"/>
    </row>
    <row r="18" spans="1:7" ht="15.6" x14ac:dyDescent="0.3">
      <c r="A18" s="5"/>
      <c r="B18" s="13"/>
      <c r="C18" s="13"/>
      <c r="D18" s="13"/>
      <c r="E18" s="4"/>
      <c r="F18" s="13"/>
      <c r="G18" s="5"/>
    </row>
    <row r="19" spans="1:7" ht="15.6" x14ac:dyDescent="0.3">
      <c r="A19" s="5"/>
      <c r="B19" s="15" t="s">
        <v>145</v>
      </c>
      <c r="C19" s="15"/>
      <c r="D19" s="15"/>
      <c r="E19" s="4"/>
      <c r="F19" s="15"/>
      <c r="G19" s="5"/>
    </row>
    <row r="20" spans="1:7" ht="15.6" x14ac:dyDescent="0.3">
      <c r="A20" s="5"/>
      <c r="B20" s="15"/>
      <c r="C20" s="15"/>
      <c r="D20" s="15"/>
      <c r="E20" s="4"/>
      <c r="F20" s="15"/>
      <c r="G20" s="5"/>
    </row>
    <row r="21" spans="1:7" ht="15.6" x14ac:dyDescent="0.3">
      <c r="A21" s="5"/>
      <c r="B21" s="15"/>
      <c r="C21" s="15"/>
      <c r="D21" s="15"/>
      <c r="E21" s="4"/>
      <c r="F21" s="15"/>
      <c r="G21" s="5"/>
    </row>
    <row r="22" spans="1:7" ht="15.6" x14ac:dyDescent="0.3">
      <c r="A22" s="5"/>
      <c r="B22" s="15"/>
      <c r="C22" s="15"/>
      <c r="D22" s="15"/>
      <c r="E22" s="4"/>
      <c r="F22" s="15"/>
      <c r="G22" s="5"/>
    </row>
    <row r="23" spans="1:7" ht="15.6" x14ac:dyDescent="0.3">
      <c r="A23" s="5"/>
      <c r="B23" s="15"/>
      <c r="C23" s="15"/>
      <c r="D23" s="15"/>
      <c r="E23" s="4"/>
      <c r="F23" s="15"/>
      <c r="G23" s="5"/>
    </row>
    <row r="24" spans="1:7" ht="15.6" x14ac:dyDescent="0.3">
      <c r="A24" s="15"/>
      <c r="B24" s="17"/>
      <c r="C24" s="17"/>
      <c r="D24" s="17"/>
      <c r="E24" s="4"/>
      <c r="F24" s="17"/>
      <c r="G24" s="5"/>
    </row>
    <row r="25" spans="1:7" ht="28.8" x14ac:dyDescent="0.55000000000000004">
      <c r="A25" s="25" t="s">
        <v>128</v>
      </c>
      <c r="B25" s="25"/>
      <c r="C25" s="25"/>
      <c r="D25" s="25"/>
      <c r="E25" s="7">
        <f>SUM(E4:E24)</f>
        <v>66230</v>
      </c>
      <c r="F25" s="8">
        <f>SUM(F4:F24)</f>
        <v>60000</v>
      </c>
      <c r="G25" s="9">
        <f>E25-F25</f>
        <v>6230</v>
      </c>
    </row>
  </sheetData>
  <mergeCells count="3">
    <mergeCell ref="A1:G1"/>
    <mergeCell ref="A2:G2"/>
    <mergeCell ref="A25:D2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6794-24A9-4D9F-900A-59E9F04A5E08}">
  <dimension ref="A1:G23"/>
  <sheetViews>
    <sheetView topLeftCell="A7" zoomScaleNormal="100" workbookViewId="0">
      <selection activeCell="I17" sqref="I17"/>
    </sheetView>
  </sheetViews>
  <sheetFormatPr defaultRowHeight="14.4" x14ac:dyDescent="0.3"/>
  <cols>
    <col min="1" max="1" width="12.77734375" bestFit="1" customWidth="1"/>
    <col min="2" max="2" width="17.6640625" bestFit="1" customWidth="1"/>
    <col min="3" max="3" width="6.77734375" bestFit="1" customWidth="1"/>
    <col min="4" max="4" width="8.21875" bestFit="1" customWidth="1"/>
    <col min="5" max="5" width="13.33203125" bestFit="1" customWidth="1"/>
    <col min="6" max="6" width="20" bestFit="1" customWidth="1"/>
    <col min="7" max="7" width="26.21875" bestFit="1" customWidth="1"/>
  </cols>
  <sheetData>
    <row r="1" spans="1:7" ht="33.6" x14ac:dyDescent="0.65">
      <c r="A1" s="20" t="s">
        <v>36</v>
      </c>
      <c r="B1" s="20"/>
      <c r="C1" s="20"/>
      <c r="D1" s="20"/>
      <c r="E1" s="20"/>
      <c r="F1" s="20"/>
      <c r="G1" s="20"/>
    </row>
    <row r="2" spans="1:7" ht="33.6" x14ac:dyDescent="0.65">
      <c r="A2" s="21" t="s">
        <v>130</v>
      </c>
      <c r="B2" s="22"/>
      <c r="C2" s="22"/>
      <c r="D2" s="22"/>
      <c r="E2" s="22"/>
      <c r="F2" s="22"/>
      <c r="G2" s="23"/>
    </row>
    <row r="3" spans="1:7" ht="25.8" x14ac:dyDescent="0.5">
      <c r="A3" s="1" t="s">
        <v>0</v>
      </c>
      <c r="B3" s="1" t="s">
        <v>43</v>
      </c>
      <c r="C3" s="1" t="s">
        <v>23</v>
      </c>
      <c r="D3" s="1" t="s">
        <v>13</v>
      </c>
      <c r="E3" s="1" t="s">
        <v>1</v>
      </c>
      <c r="F3" s="1" t="s">
        <v>2</v>
      </c>
      <c r="G3" s="1" t="s">
        <v>3</v>
      </c>
    </row>
    <row r="4" spans="1:7" ht="15.6" x14ac:dyDescent="0.3">
      <c r="A4" s="4"/>
      <c r="B4" s="4" t="s">
        <v>18</v>
      </c>
      <c r="C4" s="4"/>
      <c r="D4" s="4"/>
      <c r="E4" s="5">
        <v>0</v>
      </c>
      <c r="F4" s="4"/>
      <c r="G4" s="5">
        <f>E4</f>
        <v>0</v>
      </c>
    </row>
    <row r="5" spans="1:7" ht="15.6" x14ac:dyDescent="0.3">
      <c r="A5" s="5"/>
      <c r="B5" s="5"/>
      <c r="C5" s="5"/>
      <c r="D5" s="5"/>
      <c r="E5" s="4">
        <f>C5*D5</f>
        <v>0</v>
      </c>
      <c r="F5" s="5"/>
      <c r="G5" s="5">
        <f>G4+E5-F5</f>
        <v>0</v>
      </c>
    </row>
    <row r="6" spans="1:7" ht="15.6" x14ac:dyDescent="0.3">
      <c r="A6" s="5"/>
      <c r="B6" s="5"/>
      <c r="C6" s="5"/>
      <c r="D6" s="5"/>
      <c r="E6" s="4">
        <f t="shared" ref="E6:E21" si="0">C6*D6</f>
        <v>0</v>
      </c>
      <c r="F6" s="5"/>
      <c r="G6" s="5">
        <f t="shared" ref="G6" si="1">G5+E6-F6</f>
        <v>0</v>
      </c>
    </row>
    <row r="7" spans="1:7" ht="15.6" x14ac:dyDescent="0.3">
      <c r="A7" s="5"/>
      <c r="B7" s="5"/>
      <c r="C7" s="5"/>
      <c r="D7" s="5"/>
      <c r="E7" s="4"/>
      <c r="F7" s="5">
        <v>15000</v>
      </c>
      <c r="G7" s="5">
        <f>G6+E7-F7</f>
        <v>-15000</v>
      </c>
    </row>
    <row r="8" spans="1:7" ht="15.6" x14ac:dyDescent="0.3">
      <c r="A8" s="5"/>
      <c r="B8" s="5"/>
      <c r="C8" s="5"/>
      <c r="D8" s="5"/>
      <c r="E8" s="4">
        <f t="shared" si="0"/>
        <v>0</v>
      </c>
      <c r="F8" s="5"/>
      <c r="G8" s="5">
        <f>G7+E8-F8</f>
        <v>-15000</v>
      </c>
    </row>
    <row r="9" spans="1:7" ht="15.6" x14ac:dyDescent="0.3">
      <c r="A9" s="5"/>
      <c r="B9" s="5"/>
      <c r="C9" s="5"/>
      <c r="D9" s="5"/>
      <c r="E9" s="4">
        <f t="shared" si="0"/>
        <v>0</v>
      </c>
      <c r="F9" s="5"/>
      <c r="G9" s="5">
        <f>G8+E9-F9</f>
        <v>-15000</v>
      </c>
    </row>
    <row r="10" spans="1:7" ht="15.6" x14ac:dyDescent="0.3">
      <c r="A10" s="5"/>
      <c r="B10" s="5"/>
      <c r="C10" s="5"/>
      <c r="D10" s="5"/>
      <c r="E10" s="4">
        <f t="shared" si="0"/>
        <v>0</v>
      </c>
      <c r="F10" s="13"/>
      <c r="G10" s="5">
        <f t="shared" ref="G10:G21" si="2">G9+E10-F10</f>
        <v>-15000</v>
      </c>
    </row>
    <row r="11" spans="1:7" ht="15.6" x14ac:dyDescent="0.3">
      <c r="A11" s="5"/>
      <c r="B11" s="5"/>
      <c r="C11" s="5"/>
      <c r="D11" s="5"/>
      <c r="E11" s="4">
        <f t="shared" si="0"/>
        <v>0</v>
      </c>
      <c r="F11" s="5"/>
      <c r="G11" s="5">
        <f t="shared" si="2"/>
        <v>-15000</v>
      </c>
    </row>
    <row r="12" spans="1:7" ht="15.6" x14ac:dyDescent="0.3">
      <c r="A12" s="5"/>
      <c r="B12" s="5"/>
      <c r="C12" s="5"/>
      <c r="D12" s="5"/>
      <c r="E12" s="4">
        <f t="shared" si="0"/>
        <v>0</v>
      </c>
      <c r="F12" s="5"/>
      <c r="G12" s="5">
        <f t="shared" si="2"/>
        <v>-15000</v>
      </c>
    </row>
    <row r="13" spans="1:7" ht="15.6" x14ac:dyDescent="0.3">
      <c r="A13" s="5"/>
      <c r="B13" s="5"/>
      <c r="C13" s="5"/>
      <c r="D13" s="5"/>
      <c r="E13" s="4">
        <f t="shared" si="0"/>
        <v>0</v>
      </c>
      <c r="F13" s="5">
        <v>10000</v>
      </c>
      <c r="G13" s="5">
        <f t="shared" si="2"/>
        <v>-25000</v>
      </c>
    </row>
    <row r="14" spans="1:7" ht="15.6" x14ac:dyDescent="0.3">
      <c r="A14" s="5"/>
      <c r="B14" s="5"/>
      <c r="C14" s="5"/>
      <c r="D14" s="5"/>
      <c r="E14" s="4">
        <f t="shared" si="0"/>
        <v>0</v>
      </c>
      <c r="F14" s="5"/>
      <c r="G14" s="5">
        <f t="shared" si="2"/>
        <v>-25000</v>
      </c>
    </row>
    <row r="15" spans="1:7" ht="15.6" x14ac:dyDescent="0.3">
      <c r="A15" s="5"/>
      <c r="B15" s="13"/>
      <c r="C15" s="13"/>
      <c r="D15" s="13"/>
      <c r="E15" s="4">
        <f t="shared" si="0"/>
        <v>0</v>
      </c>
      <c r="F15" s="13"/>
      <c r="G15" s="5">
        <f t="shared" si="2"/>
        <v>-25000</v>
      </c>
    </row>
    <row r="16" spans="1:7" ht="15.6" x14ac:dyDescent="0.3">
      <c r="A16" s="5"/>
      <c r="B16" s="13"/>
      <c r="C16" s="13"/>
      <c r="D16" s="13"/>
      <c r="E16" s="4">
        <f t="shared" si="0"/>
        <v>0</v>
      </c>
      <c r="F16" s="13">
        <v>15000</v>
      </c>
      <c r="G16" s="5">
        <f t="shared" si="2"/>
        <v>-40000</v>
      </c>
    </row>
    <row r="17" spans="1:7" ht="15.6" x14ac:dyDescent="0.3">
      <c r="A17" s="5"/>
      <c r="B17" s="15"/>
      <c r="C17" s="15"/>
      <c r="D17" s="15"/>
      <c r="E17" s="4">
        <f t="shared" si="0"/>
        <v>0</v>
      </c>
      <c r="F17" s="15"/>
      <c r="G17" s="5">
        <f t="shared" si="2"/>
        <v>-40000</v>
      </c>
    </row>
    <row r="18" spans="1:7" ht="15.6" x14ac:dyDescent="0.3">
      <c r="A18" s="5"/>
      <c r="B18" s="15"/>
      <c r="C18" s="15"/>
      <c r="D18" s="15"/>
      <c r="E18" s="4">
        <f t="shared" si="0"/>
        <v>0</v>
      </c>
      <c r="F18" s="15"/>
      <c r="G18" s="5">
        <f t="shared" si="2"/>
        <v>-40000</v>
      </c>
    </row>
    <row r="19" spans="1:7" ht="15.6" x14ac:dyDescent="0.3">
      <c r="A19" s="5"/>
      <c r="B19" s="15"/>
      <c r="C19" s="15"/>
      <c r="D19" s="15"/>
      <c r="E19" s="4">
        <f t="shared" si="0"/>
        <v>0</v>
      </c>
      <c r="F19" s="15"/>
      <c r="G19" s="5">
        <f t="shared" si="2"/>
        <v>-40000</v>
      </c>
    </row>
    <row r="20" spans="1:7" ht="15.6" x14ac:dyDescent="0.3">
      <c r="A20" s="5"/>
      <c r="B20" s="15"/>
      <c r="C20" s="15"/>
      <c r="D20" s="15"/>
      <c r="E20" s="4">
        <f t="shared" si="0"/>
        <v>0</v>
      </c>
      <c r="F20" s="15"/>
      <c r="G20" s="5">
        <f t="shared" si="2"/>
        <v>-40000</v>
      </c>
    </row>
    <row r="21" spans="1:7" ht="15.6" x14ac:dyDescent="0.3">
      <c r="A21" s="5"/>
      <c r="B21" s="15"/>
      <c r="C21" s="15"/>
      <c r="D21" s="15"/>
      <c r="E21" s="4">
        <f t="shared" si="0"/>
        <v>0</v>
      </c>
      <c r="F21" s="15"/>
      <c r="G21" s="5">
        <f t="shared" si="2"/>
        <v>-40000</v>
      </c>
    </row>
    <row r="22" spans="1:7" ht="15.6" x14ac:dyDescent="0.3">
      <c r="A22" s="15"/>
      <c r="B22" s="17"/>
      <c r="C22" s="17"/>
      <c r="D22" s="17"/>
      <c r="E22" s="4"/>
      <c r="F22" s="17"/>
      <c r="G22" s="5"/>
    </row>
    <row r="23" spans="1:7" ht="28.8" x14ac:dyDescent="0.55000000000000004">
      <c r="A23" s="25" t="s">
        <v>128</v>
      </c>
      <c r="B23" s="25"/>
      <c r="C23" s="25"/>
      <c r="D23" s="25"/>
      <c r="E23" s="7">
        <f>SUM(E4:E22)</f>
        <v>0</v>
      </c>
      <c r="F23" s="8">
        <f>SUM(F4:F22)</f>
        <v>40000</v>
      </c>
      <c r="G23" s="9">
        <f>E23-F23</f>
        <v>-40000</v>
      </c>
    </row>
  </sheetData>
  <mergeCells count="3">
    <mergeCell ref="A1:G1"/>
    <mergeCell ref="A2:G2"/>
    <mergeCell ref="A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2024-06-02T00:22:57Z</cp:lastPrinted>
  <dcterms:created xsi:type="dcterms:W3CDTF">2024-02-01T00:34:23Z</dcterms:created>
  <dcterms:modified xsi:type="dcterms:W3CDTF">2025-05-24T01:09:49Z</dcterms:modified>
</cp:coreProperties>
</file>