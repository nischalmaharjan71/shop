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ionsPalace\"/>
    </mc:Choice>
  </mc:AlternateContent>
  <xr:revisionPtr revIDLastSave="0" documentId="13_ncr:1_{33E58BBE-07A5-407B-B778-1E48FC63E89D}" xr6:coauthVersionLast="36" xr6:coauthVersionMax="36" xr10:uidLastSave="{00000000-0000-0000-0000-000000000000}"/>
  <bookViews>
    <workbookView xWindow="0" yWindow="0" windowWidth="23040" windowHeight="9060" activeTab="2" xr2:uid="{649671FC-C762-4569-962B-29D4A4FD1A82}"/>
  </bookViews>
  <sheets>
    <sheet name="Sheet2" sheetId="2" r:id="rId1"/>
    <sheet name="Sheet1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4" l="1"/>
  <c r="D27" i="4" s="1"/>
  <c r="D29" i="3" l="1"/>
  <c r="D23" i="3"/>
  <c r="D31" i="2"/>
  <c r="D23" i="2" l="1"/>
  <c r="D27" i="2" l="1"/>
</calcChain>
</file>

<file path=xl/sharedStrings.xml><?xml version="1.0" encoding="utf-8"?>
<sst xmlns="http://schemas.openxmlformats.org/spreadsheetml/2006/main" count="32" uniqueCount="15">
  <si>
    <t>Date</t>
  </si>
  <si>
    <t>Amount</t>
  </si>
  <si>
    <t>Total</t>
  </si>
  <si>
    <t>Baki</t>
  </si>
  <si>
    <t>LionsPalace</t>
  </si>
  <si>
    <t>Cash</t>
  </si>
  <si>
    <t>From  Falgun1 to Falgun30</t>
  </si>
  <si>
    <t>From  Chaitra1 to Chaitra30</t>
  </si>
  <si>
    <t>Falgun</t>
  </si>
  <si>
    <t>cash ic12700</t>
  </si>
  <si>
    <t>CASH</t>
  </si>
  <si>
    <t>paid</t>
  </si>
  <si>
    <t>From  Baishak1 to Baishak30</t>
  </si>
  <si>
    <t>cash</t>
  </si>
  <si>
    <t>baki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</si>
</sst>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26DE-AF1D-4244-85A9-5509EDE94E39}">
  <dimension ref="A1:E32"/>
  <sheetViews>
    <sheetView topLeftCell="A19" workbookViewId="0">
      <selection activeCell="B43" sqref="B43"/>
    </sheetView>
  </sheetViews>
  <sheetFormatPr defaultRowHeight="14.4" x14ac:dyDescent="0.3"/>
  <cols>
    <col min="1" max="1" width="20.109375" customWidth="1"/>
    <col min="2" max="2" width="15.88671875" customWidth="1"/>
    <col min="3" max="3" width="5.44140625" customWidth="1"/>
    <col min="4" max="4" width="21" customWidth="1"/>
    <col min="5" max="5" width="14.77734375" customWidth="1"/>
  </cols>
  <sheetData>
    <row r="1" spans="1:5" ht="31.2" x14ac:dyDescent="0.3">
      <c r="A1" s="9" t="s">
        <v>4</v>
      </c>
      <c r="B1" s="9"/>
      <c r="C1" s="9"/>
      <c r="D1" s="9"/>
      <c r="E1" s="9"/>
    </row>
    <row r="2" spans="1:5" ht="25.8" x14ac:dyDescent="0.3">
      <c r="A2" s="10" t="s">
        <v>6</v>
      </c>
      <c r="B2" s="10"/>
      <c r="C2" s="10"/>
      <c r="D2" s="10"/>
      <c r="E2" s="10"/>
    </row>
    <row r="3" spans="1:5" ht="25.8" x14ac:dyDescent="0.3">
      <c r="A3" s="4" t="s">
        <v>0</v>
      </c>
      <c r="B3" s="4" t="s">
        <v>1</v>
      </c>
      <c r="C3" s="12"/>
      <c r="D3" s="4" t="s">
        <v>0</v>
      </c>
      <c r="E3" s="4" t="s">
        <v>1</v>
      </c>
    </row>
    <row r="4" spans="1:5" ht="21" x14ac:dyDescent="0.3">
      <c r="A4" s="1">
        <v>66781</v>
      </c>
      <c r="B4" s="2">
        <v>3400</v>
      </c>
      <c r="C4" s="13"/>
      <c r="D4" s="1">
        <v>66796</v>
      </c>
      <c r="E4" s="2">
        <v>2465</v>
      </c>
    </row>
    <row r="5" spans="1:5" ht="21" x14ac:dyDescent="0.3">
      <c r="A5" s="1">
        <v>66782</v>
      </c>
      <c r="B5" s="2">
        <v>1495</v>
      </c>
      <c r="C5" s="13"/>
      <c r="D5" s="1">
        <v>66797</v>
      </c>
      <c r="E5" s="2">
        <v>835</v>
      </c>
    </row>
    <row r="6" spans="1:5" ht="21" x14ac:dyDescent="0.3">
      <c r="A6" s="1">
        <v>66783</v>
      </c>
      <c r="B6" s="2">
        <v>1400</v>
      </c>
      <c r="C6" s="13"/>
      <c r="D6" s="1">
        <v>66798</v>
      </c>
      <c r="E6" s="2"/>
    </row>
    <row r="7" spans="1:5" ht="21" x14ac:dyDescent="0.3">
      <c r="A7" s="1">
        <v>66784</v>
      </c>
      <c r="B7" s="2">
        <v>4290</v>
      </c>
      <c r="C7" s="13"/>
      <c r="D7" s="1">
        <v>66799</v>
      </c>
      <c r="E7" s="2"/>
    </row>
    <row r="8" spans="1:5" ht="21" x14ac:dyDescent="0.3">
      <c r="A8" s="1">
        <v>66785</v>
      </c>
      <c r="B8" s="2">
        <v>1565</v>
      </c>
      <c r="C8" s="13"/>
      <c r="D8" s="1">
        <v>66800</v>
      </c>
      <c r="E8" s="2"/>
    </row>
    <row r="9" spans="1:5" ht="21" x14ac:dyDescent="0.3">
      <c r="A9" s="1">
        <v>66786</v>
      </c>
      <c r="B9" s="2">
        <v>1630</v>
      </c>
      <c r="C9" s="13"/>
      <c r="D9" s="1">
        <v>66801</v>
      </c>
      <c r="E9" s="2"/>
    </row>
    <row r="10" spans="1:5" ht="21" x14ac:dyDescent="0.3">
      <c r="A10" s="1">
        <v>66787</v>
      </c>
      <c r="B10" s="2">
        <v>2260</v>
      </c>
      <c r="C10" s="13"/>
      <c r="D10" s="1">
        <v>66802</v>
      </c>
      <c r="E10" s="2">
        <v>5425</v>
      </c>
    </row>
    <row r="11" spans="1:5" ht="21" x14ac:dyDescent="0.3">
      <c r="A11" s="1">
        <v>66788</v>
      </c>
      <c r="B11" s="2">
        <v>4185</v>
      </c>
      <c r="C11" s="13"/>
      <c r="D11" s="1">
        <v>66803</v>
      </c>
      <c r="E11" s="2">
        <v>1945</v>
      </c>
    </row>
    <row r="12" spans="1:5" ht="21" x14ac:dyDescent="0.3">
      <c r="A12" s="1">
        <v>66789</v>
      </c>
      <c r="B12" s="2"/>
      <c r="C12" s="13"/>
      <c r="D12" s="1">
        <v>66804</v>
      </c>
      <c r="E12" s="2">
        <v>1140</v>
      </c>
    </row>
    <row r="13" spans="1:5" ht="21" x14ac:dyDescent="0.3">
      <c r="A13" s="1">
        <v>66790</v>
      </c>
      <c r="B13" s="2">
        <v>1365</v>
      </c>
      <c r="C13" s="13"/>
      <c r="D13" s="1">
        <v>66805</v>
      </c>
      <c r="E13" s="2">
        <v>4090</v>
      </c>
    </row>
    <row r="14" spans="1:5" ht="21" x14ac:dyDescent="0.3">
      <c r="A14" s="1">
        <v>66791</v>
      </c>
      <c r="B14" s="2">
        <v>2185</v>
      </c>
      <c r="C14" s="13"/>
      <c r="D14" s="1">
        <v>66806</v>
      </c>
      <c r="E14" s="2">
        <v>470</v>
      </c>
    </row>
    <row r="15" spans="1:5" ht="21" x14ac:dyDescent="0.3">
      <c r="A15" s="1">
        <v>66792</v>
      </c>
      <c r="B15" s="2">
        <v>2120</v>
      </c>
      <c r="C15" s="13"/>
      <c r="D15" s="1">
        <v>66807</v>
      </c>
      <c r="E15" s="2">
        <v>1930</v>
      </c>
    </row>
    <row r="16" spans="1:5" ht="21" x14ac:dyDescent="0.3">
      <c r="A16" s="1">
        <v>66793</v>
      </c>
      <c r="B16" s="2">
        <v>1220</v>
      </c>
      <c r="C16" s="13"/>
      <c r="D16" s="1">
        <v>66808</v>
      </c>
      <c r="E16" s="2">
        <v>1400</v>
      </c>
    </row>
    <row r="17" spans="1:5" ht="21" x14ac:dyDescent="0.3">
      <c r="A17" s="1">
        <v>66794</v>
      </c>
      <c r="B17" s="2">
        <v>2010</v>
      </c>
      <c r="C17" s="13"/>
      <c r="D17" s="1">
        <v>66809</v>
      </c>
      <c r="E17" s="2">
        <v>1530</v>
      </c>
    </row>
    <row r="18" spans="1:5" ht="21" x14ac:dyDescent="0.3">
      <c r="A18" s="1">
        <v>66795</v>
      </c>
      <c r="B18" s="2">
        <v>3330</v>
      </c>
      <c r="C18" s="13"/>
      <c r="D18" s="1">
        <v>66810</v>
      </c>
      <c r="E18" s="2">
        <v>1835</v>
      </c>
    </row>
    <row r="19" spans="1:5" x14ac:dyDescent="0.3">
      <c r="A19" s="3"/>
      <c r="B19" s="3"/>
      <c r="C19" s="13"/>
      <c r="D19" s="3"/>
      <c r="E19" s="3"/>
    </row>
    <row r="20" spans="1:5" x14ac:dyDescent="0.3">
      <c r="A20" s="3"/>
      <c r="B20" s="3"/>
      <c r="C20" s="13"/>
      <c r="D20" s="3"/>
      <c r="E20" s="3"/>
    </row>
    <row r="21" spans="1:5" x14ac:dyDescent="0.3">
      <c r="A21" s="3"/>
      <c r="B21" s="3"/>
      <c r="C21" s="13"/>
      <c r="D21" s="3"/>
      <c r="E21" s="3"/>
    </row>
    <row r="22" spans="1:5" x14ac:dyDescent="0.3">
      <c r="A22" s="3"/>
      <c r="B22" s="3"/>
      <c r="C22" s="13"/>
      <c r="D22" s="3"/>
      <c r="E22" s="3"/>
    </row>
    <row r="23" spans="1:5" ht="36.6" customHeight="1" x14ac:dyDescent="0.3">
      <c r="A23" s="11" t="s">
        <v>2</v>
      </c>
      <c r="B23" s="11"/>
      <c r="C23" s="13"/>
      <c r="D23" s="11">
        <f>SUM(B4:B18,E4:E19)</f>
        <v>55520</v>
      </c>
      <c r="E23" s="11"/>
    </row>
    <row r="24" spans="1:5" ht="36.6" customHeight="1" x14ac:dyDescent="0.3">
      <c r="A24" s="11"/>
      <c r="B24" s="11"/>
      <c r="C24" s="13"/>
      <c r="D24" s="11"/>
      <c r="E24" s="11"/>
    </row>
    <row r="25" spans="1:5" x14ac:dyDescent="0.3">
      <c r="A25" s="11" t="s">
        <v>5</v>
      </c>
      <c r="B25" s="11"/>
      <c r="C25" s="13"/>
      <c r="D25" s="11">
        <v>20000</v>
      </c>
      <c r="E25" s="11"/>
    </row>
    <row r="26" spans="1:5" ht="21" customHeight="1" x14ac:dyDescent="0.3">
      <c r="A26" s="11"/>
      <c r="B26" s="11"/>
      <c r="C26" s="13"/>
      <c r="D26" s="11"/>
      <c r="E26" s="11"/>
    </row>
    <row r="27" spans="1:5" x14ac:dyDescent="0.3">
      <c r="A27" s="11" t="s">
        <v>3</v>
      </c>
      <c r="B27" s="11"/>
      <c r="C27" s="13"/>
      <c r="D27" s="11">
        <f>D23-D25</f>
        <v>35520</v>
      </c>
      <c r="E27" s="11"/>
    </row>
    <row r="28" spans="1:5" ht="21" customHeight="1" x14ac:dyDescent="0.3">
      <c r="A28" s="11"/>
      <c r="B28" s="11"/>
      <c r="C28" s="13"/>
      <c r="D28" s="11"/>
      <c r="E28" s="11"/>
    </row>
    <row r="29" spans="1:5" x14ac:dyDescent="0.3">
      <c r="A29" s="11" t="s">
        <v>10</v>
      </c>
      <c r="B29" s="11"/>
      <c r="C29" s="13"/>
      <c r="D29" s="11">
        <v>30000</v>
      </c>
      <c r="E29" s="11"/>
    </row>
    <row r="30" spans="1:5" x14ac:dyDescent="0.3">
      <c r="A30" s="11"/>
      <c r="B30" s="11"/>
      <c r="C30" s="13"/>
      <c r="D30" s="11"/>
      <c r="E30" s="11"/>
    </row>
    <row r="31" spans="1:5" x14ac:dyDescent="0.3">
      <c r="A31" s="11" t="s">
        <v>3</v>
      </c>
      <c r="B31" s="11"/>
      <c r="C31" s="13"/>
      <c r="D31" s="11">
        <f>D27-D29</f>
        <v>5520</v>
      </c>
      <c r="E31" s="11"/>
    </row>
    <row r="32" spans="1:5" ht="19.8" customHeight="1" x14ac:dyDescent="0.3">
      <c r="A32" s="11"/>
      <c r="B32" s="11"/>
      <c r="C32" s="14"/>
      <c r="D32" s="11"/>
      <c r="E32" s="11"/>
    </row>
  </sheetData>
  <mergeCells count="13">
    <mergeCell ref="A29:B30"/>
    <mergeCell ref="D29:E30"/>
    <mergeCell ref="A31:B32"/>
    <mergeCell ref="D31:E32"/>
    <mergeCell ref="C3:C32"/>
    <mergeCell ref="A27:B28"/>
    <mergeCell ref="D27:E28"/>
    <mergeCell ref="A1:E1"/>
    <mergeCell ref="A2:E2"/>
    <mergeCell ref="A23:B24"/>
    <mergeCell ref="D23:E24"/>
    <mergeCell ref="A25:B26"/>
    <mergeCell ref="D25:E26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3084-FFD4-4314-B1EE-E202B0F297A9}">
  <dimension ref="A1:E34"/>
  <sheetViews>
    <sheetView topLeftCell="A14" workbookViewId="0">
      <selection sqref="A1:E30"/>
    </sheetView>
  </sheetViews>
  <sheetFormatPr defaultRowHeight="14.4" x14ac:dyDescent="0.3"/>
  <cols>
    <col min="1" max="1" width="16" bestFit="1" customWidth="1"/>
    <col min="2" max="2" width="14" bestFit="1" customWidth="1"/>
    <col min="4" max="4" width="16" bestFit="1" customWidth="1"/>
    <col min="5" max="5" width="14" bestFit="1" customWidth="1"/>
  </cols>
  <sheetData>
    <row r="1" spans="1:5" ht="31.2" x14ac:dyDescent="0.3">
      <c r="A1" s="9" t="s">
        <v>4</v>
      </c>
      <c r="B1" s="9"/>
      <c r="C1" s="9"/>
      <c r="D1" s="9"/>
      <c r="E1" s="9"/>
    </row>
    <row r="2" spans="1:5" ht="25.8" x14ac:dyDescent="0.3">
      <c r="A2" s="10" t="s">
        <v>7</v>
      </c>
      <c r="B2" s="10"/>
      <c r="C2" s="10"/>
      <c r="D2" s="10"/>
      <c r="E2" s="10"/>
    </row>
    <row r="3" spans="1:5" ht="25.8" x14ac:dyDescent="0.3">
      <c r="A3" s="4" t="s">
        <v>0</v>
      </c>
      <c r="B3" s="4" t="s">
        <v>1</v>
      </c>
      <c r="C3" s="12"/>
      <c r="D3" s="4" t="s">
        <v>0</v>
      </c>
      <c r="E3" s="4" t="s">
        <v>1</v>
      </c>
    </row>
    <row r="4" spans="1:5" ht="25.8" x14ac:dyDescent="0.5">
      <c r="A4" s="6" t="s">
        <v>8</v>
      </c>
      <c r="B4" s="2">
        <v>5520</v>
      </c>
      <c r="C4" s="13"/>
      <c r="D4" s="1">
        <v>66826</v>
      </c>
      <c r="E4" s="2">
        <v>4570</v>
      </c>
    </row>
    <row r="5" spans="1:5" ht="21" x14ac:dyDescent="0.3">
      <c r="A5" s="1">
        <v>66811</v>
      </c>
      <c r="B5" s="2">
        <v>1850</v>
      </c>
      <c r="C5" s="13"/>
      <c r="D5" s="1">
        <v>66827</v>
      </c>
      <c r="E5" s="2">
        <v>1775</v>
      </c>
    </row>
    <row r="6" spans="1:5" ht="21" x14ac:dyDescent="0.3">
      <c r="A6" s="1">
        <v>66812</v>
      </c>
      <c r="B6" s="2">
        <v>1385</v>
      </c>
      <c r="C6" s="13"/>
      <c r="D6" s="1">
        <v>66828</v>
      </c>
      <c r="E6" s="2">
        <v>1920</v>
      </c>
    </row>
    <row r="7" spans="1:5" ht="21" x14ac:dyDescent="0.3">
      <c r="A7" s="1">
        <v>66813</v>
      </c>
      <c r="B7" s="2">
        <v>3865</v>
      </c>
      <c r="C7" s="13"/>
      <c r="D7" s="1">
        <v>66829</v>
      </c>
      <c r="E7" s="2">
        <v>1685</v>
      </c>
    </row>
    <row r="8" spans="1:5" ht="21" x14ac:dyDescent="0.3">
      <c r="A8" s="1">
        <v>66814</v>
      </c>
      <c r="B8" s="2">
        <v>2760</v>
      </c>
      <c r="C8" s="13"/>
      <c r="D8" s="1">
        <v>66830</v>
      </c>
      <c r="E8" s="2">
        <v>2895</v>
      </c>
    </row>
    <row r="9" spans="1:5" ht="21" x14ac:dyDescent="0.3">
      <c r="A9" s="1">
        <v>66815</v>
      </c>
      <c r="B9" s="2">
        <v>1935</v>
      </c>
      <c r="C9" s="13"/>
      <c r="D9" s="1">
        <v>66831</v>
      </c>
      <c r="E9" s="2">
        <v>1425</v>
      </c>
    </row>
    <row r="10" spans="1:5" ht="21" x14ac:dyDescent="0.3">
      <c r="A10" s="1">
        <v>66816</v>
      </c>
      <c r="B10" s="2">
        <v>2465</v>
      </c>
      <c r="C10" s="13"/>
      <c r="D10" s="1">
        <v>66832</v>
      </c>
      <c r="E10" s="2">
        <v>2200</v>
      </c>
    </row>
    <row r="11" spans="1:5" ht="21" x14ac:dyDescent="0.3">
      <c r="A11" s="1">
        <v>66817</v>
      </c>
      <c r="B11" s="2">
        <v>5405</v>
      </c>
      <c r="C11" s="13"/>
      <c r="D11" s="1">
        <v>66833</v>
      </c>
      <c r="E11" s="2">
        <v>5970</v>
      </c>
    </row>
    <row r="12" spans="1:5" ht="21" x14ac:dyDescent="0.3">
      <c r="A12" s="1">
        <v>66818</v>
      </c>
      <c r="B12" s="2">
        <v>1285</v>
      </c>
      <c r="C12" s="13"/>
      <c r="D12" s="1">
        <v>66834</v>
      </c>
      <c r="E12" s="2">
        <v>1285</v>
      </c>
    </row>
    <row r="13" spans="1:5" ht="21" x14ac:dyDescent="0.3">
      <c r="A13" s="1">
        <v>66819</v>
      </c>
      <c r="B13" s="2">
        <v>1750</v>
      </c>
      <c r="C13" s="13"/>
      <c r="D13" s="1">
        <v>66835</v>
      </c>
      <c r="E13" s="2">
        <v>1655</v>
      </c>
    </row>
    <row r="14" spans="1:5" ht="21" x14ac:dyDescent="0.3">
      <c r="A14" s="1">
        <v>66820</v>
      </c>
      <c r="B14" s="2">
        <v>5005</v>
      </c>
      <c r="C14" s="13"/>
      <c r="D14" s="1">
        <v>66836</v>
      </c>
      <c r="E14" s="2">
        <v>900</v>
      </c>
    </row>
    <row r="15" spans="1:5" ht="21" x14ac:dyDescent="0.3">
      <c r="A15" s="1">
        <v>66821</v>
      </c>
      <c r="B15" s="2">
        <v>2265</v>
      </c>
      <c r="C15" s="13"/>
      <c r="D15" s="1">
        <v>66837</v>
      </c>
      <c r="E15" s="2">
        <v>1860</v>
      </c>
    </row>
    <row r="16" spans="1:5" ht="21" x14ac:dyDescent="0.3">
      <c r="A16" s="1">
        <v>66822</v>
      </c>
      <c r="B16" s="2">
        <v>2110</v>
      </c>
      <c r="C16" s="13"/>
      <c r="D16" s="1">
        <v>66838</v>
      </c>
      <c r="E16" s="2">
        <v>2500</v>
      </c>
    </row>
    <row r="17" spans="1:5" ht="21" x14ac:dyDescent="0.3">
      <c r="A17" s="1">
        <v>66823</v>
      </c>
      <c r="B17" s="2">
        <v>2210</v>
      </c>
      <c r="C17" s="13"/>
      <c r="D17" s="1">
        <v>66839</v>
      </c>
      <c r="E17" s="2">
        <v>2130</v>
      </c>
    </row>
    <row r="18" spans="1:5" ht="21" x14ac:dyDescent="0.3">
      <c r="A18" s="1">
        <v>66824</v>
      </c>
      <c r="B18" s="2">
        <v>2255</v>
      </c>
      <c r="C18" s="13"/>
      <c r="D18" s="1">
        <v>66840</v>
      </c>
      <c r="E18" s="2">
        <v>6105</v>
      </c>
    </row>
    <row r="19" spans="1:5" ht="21" x14ac:dyDescent="0.3">
      <c r="A19" s="1">
        <v>66825</v>
      </c>
      <c r="B19" s="2">
        <v>1300</v>
      </c>
      <c r="C19" s="13"/>
      <c r="D19" s="3"/>
      <c r="E19" s="3"/>
    </row>
    <row r="20" spans="1:5" x14ac:dyDescent="0.3">
      <c r="A20" s="3"/>
      <c r="B20" s="3"/>
      <c r="C20" s="13"/>
      <c r="D20" s="3"/>
      <c r="E20" s="3"/>
    </row>
    <row r="21" spans="1:5" x14ac:dyDescent="0.3">
      <c r="A21" s="3"/>
      <c r="B21" s="3"/>
      <c r="C21" s="13"/>
      <c r="D21" s="3"/>
      <c r="E21" s="3"/>
    </row>
    <row r="22" spans="1:5" x14ac:dyDescent="0.3">
      <c r="A22" s="3"/>
      <c r="B22" s="3"/>
      <c r="C22" s="13"/>
      <c r="D22" s="3"/>
      <c r="E22" s="3"/>
    </row>
    <row r="23" spans="1:5" ht="36.6" customHeight="1" x14ac:dyDescent="0.3">
      <c r="A23" s="11" t="s">
        <v>2</v>
      </c>
      <c r="B23" s="11"/>
      <c r="C23" s="13"/>
      <c r="D23" s="11">
        <f>SUM(B4:B19,E4:E19)</f>
        <v>82240</v>
      </c>
      <c r="E23" s="11"/>
    </row>
    <row r="24" spans="1:5" ht="7.2" customHeight="1" x14ac:dyDescent="0.3">
      <c r="A24" s="11"/>
      <c r="B24" s="11"/>
      <c r="C24" s="13"/>
      <c r="D24" s="11"/>
      <c r="E24" s="11"/>
    </row>
    <row r="25" spans="1:5" x14ac:dyDescent="0.3">
      <c r="A25" s="11" t="s">
        <v>5</v>
      </c>
      <c r="B25" s="11"/>
      <c r="C25" s="13"/>
      <c r="D25" s="11">
        <v>20000</v>
      </c>
      <c r="E25" s="11"/>
    </row>
    <row r="26" spans="1:5" ht="18.600000000000001" customHeight="1" x14ac:dyDescent="0.3">
      <c r="A26" s="11"/>
      <c r="B26" s="11"/>
      <c r="C26" s="13"/>
      <c r="D26" s="11"/>
      <c r="E26" s="11"/>
    </row>
    <row r="27" spans="1:5" x14ac:dyDescent="0.3">
      <c r="A27" s="11" t="s">
        <v>9</v>
      </c>
      <c r="B27" s="11"/>
      <c r="C27" s="13"/>
      <c r="D27" s="11">
        <v>20320</v>
      </c>
      <c r="E27" s="11"/>
    </row>
    <row r="28" spans="1:5" ht="17.399999999999999" customHeight="1" x14ac:dyDescent="0.3">
      <c r="A28" s="11"/>
      <c r="B28" s="11"/>
      <c r="C28" s="13"/>
      <c r="D28" s="11"/>
      <c r="E28" s="11"/>
    </row>
    <row r="29" spans="1:5" x14ac:dyDescent="0.3">
      <c r="A29" s="11" t="s">
        <v>3</v>
      </c>
      <c r="B29" s="11"/>
      <c r="C29" s="13"/>
      <c r="D29" s="11">
        <f>D23-D25-D27</f>
        <v>41920</v>
      </c>
      <c r="E29" s="11"/>
    </row>
    <row r="30" spans="1:5" ht="21" customHeight="1" x14ac:dyDescent="0.3">
      <c r="A30" s="11"/>
      <c r="B30" s="11"/>
      <c r="C30" s="13"/>
      <c r="D30" s="11"/>
      <c r="E30" s="11"/>
    </row>
    <row r="31" spans="1:5" x14ac:dyDescent="0.3">
      <c r="A31" s="15" t="s">
        <v>11</v>
      </c>
      <c r="B31" s="15"/>
      <c r="C31" s="15"/>
      <c r="D31" s="15"/>
      <c r="E31" s="15"/>
    </row>
    <row r="32" spans="1:5" x14ac:dyDescent="0.3">
      <c r="A32" s="15"/>
      <c r="B32" s="15"/>
      <c r="C32" s="15"/>
      <c r="D32" s="15"/>
      <c r="E32" s="15"/>
    </row>
    <row r="33" spans="1:5" x14ac:dyDescent="0.3">
      <c r="A33" s="15"/>
      <c r="B33" s="15"/>
      <c r="C33" s="15"/>
      <c r="D33" s="15"/>
      <c r="E33" s="15"/>
    </row>
    <row r="34" spans="1:5" x14ac:dyDescent="0.3">
      <c r="A34" s="15"/>
      <c r="B34" s="15"/>
      <c r="C34" s="15"/>
      <c r="D34" s="15"/>
      <c r="E34" s="15"/>
    </row>
  </sheetData>
  <mergeCells count="12">
    <mergeCell ref="A31:E34"/>
    <mergeCell ref="A1:E1"/>
    <mergeCell ref="A2:E2"/>
    <mergeCell ref="A23:B24"/>
    <mergeCell ref="D23:E24"/>
    <mergeCell ref="A25:B26"/>
    <mergeCell ref="D25:E26"/>
    <mergeCell ref="A29:B30"/>
    <mergeCell ref="D29:E30"/>
    <mergeCell ref="A27:B28"/>
    <mergeCell ref="D27:E28"/>
    <mergeCell ref="C3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FBC0-A70B-4400-9D4B-711830C8D81A}">
  <dimension ref="A1:E30"/>
  <sheetViews>
    <sheetView tabSelected="1" topLeftCell="A13" workbookViewId="0">
      <selection activeCell="H28" sqref="H28"/>
    </sheetView>
  </sheetViews>
  <sheetFormatPr defaultRowHeight="14.4" x14ac:dyDescent="0.3"/>
  <cols>
    <col min="1" max="1" width="16" bestFit="1" customWidth="1"/>
    <col min="2" max="2" width="14" bestFit="1" customWidth="1"/>
    <col min="4" max="4" width="16" bestFit="1" customWidth="1"/>
    <col min="5" max="5" width="17.109375" customWidth="1"/>
  </cols>
  <sheetData>
    <row r="1" spans="1:5" ht="31.2" x14ac:dyDescent="0.3">
      <c r="A1" s="9" t="s">
        <v>4</v>
      </c>
      <c r="B1" s="9"/>
      <c r="C1" s="9"/>
      <c r="D1" s="9"/>
      <c r="E1" s="9"/>
    </row>
    <row r="2" spans="1:5" ht="25.8" x14ac:dyDescent="0.3">
      <c r="A2" s="10" t="s">
        <v>12</v>
      </c>
      <c r="B2" s="10"/>
      <c r="C2" s="10"/>
      <c r="D2" s="10"/>
      <c r="E2" s="10"/>
    </row>
    <row r="3" spans="1:5" ht="25.8" x14ac:dyDescent="0.3">
      <c r="A3" s="5" t="s">
        <v>0</v>
      </c>
      <c r="B3" s="5" t="s">
        <v>1</v>
      </c>
      <c r="C3" s="7"/>
      <c r="D3" s="5" t="s">
        <v>0</v>
      </c>
      <c r="E3" s="5" t="s">
        <v>1</v>
      </c>
    </row>
    <row r="4" spans="1:5" ht="21" x14ac:dyDescent="0.3">
      <c r="A4" s="1">
        <v>66842</v>
      </c>
      <c r="B4" s="2">
        <v>2045</v>
      </c>
      <c r="C4" s="8"/>
      <c r="D4" s="1">
        <v>66857</v>
      </c>
      <c r="E4" s="2">
        <v>1575</v>
      </c>
    </row>
    <row r="5" spans="1:5" ht="21" x14ac:dyDescent="0.3">
      <c r="A5" s="1">
        <v>66843</v>
      </c>
      <c r="B5" s="2">
        <v>1690</v>
      </c>
      <c r="C5" s="8"/>
      <c r="D5" s="1">
        <v>66858</v>
      </c>
      <c r="E5" s="2">
        <v>1790</v>
      </c>
    </row>
    <row r="6" spans="1:5" ht="21" x14ac:dyDescent="0.3">
      <c r="A6" s="1">
        <v>66844</v>
      </c>
      <c r="B6" s="2">
        <v>1265</v>
      </c>
      <c r="C6" s="8"/>
      <c r="D6" s="1">
        <v>66859</v>
      </c>
      <c r="E6" s="2">
        <v>1400</v>
      </c>
    </row>
    <row r="7" spans="1:5" ht="21" x14ac:dyDescent="0.3">
      <c r="A7" s="1">
        <v>66845</v>
      </c>
      <c r="B7" s="2">
        <v>1580</v>
      </c>
      <c r="C7" s="8"/>
      <c r="D7" s="1">
        <v>66860</v>
      </c>
      <c r="E7" s="2">
        <v>3390</v>
      </c>
    </row>
    <row r="8" spans="1:5" ht="21" x14ac:dyDescent="0.3">
      <c r="A8" s="1">
        <v>66846</v>
      </c>
      <c r="B8" s="2">
        <v>2015</v>
      </c>
      <c r="C8" s="8"/>
      <c r="D8" s="1">
        <v>66861</v>
      </c>
      <c r="E8" s="2">
        <v>590</v>
      </c>
    </row>
    <row r="9" spans="1:5" ht="21" x14ac:dyDescent="0.3">
      <c r="A9" s="1">
        <v>66847</v>
      </c>
      <c r="B9" s="2">
        <v>3535</v>
      </c>
      <c r="C9" s="8"/>
      <c r="D9" s="1">
        <v>66862</v>
      </c>
      <c r="E9" s="2">
        <v>730</v>
      </c>
    </row>
    <row r="10" spans="1:5" ht="21" x14ac:dyDescent="0.3">
      <c r="A10" s="1">
        <v>66848</v>
      </c>
      <c r="B10" s="2">
        <v>1510</v>
      </c>
      <c r="C10" s="8"/>
      <c r="D10" s="1">
        <v>66863</v>
      </c>
      <c r="E10" s="2">
        <v>1115</v>
      </c>
    </row>
    <row r="11" spans="1:5" ht="21" x14ac:dyDescent="0.3">
      <c r="A11" s="1">
        <v>66849</v>
      </c>
      <c r="B11" s="2">
        <v>3895</v>
      </c>
      <c r="C11" s="8"/>
      <c r="D11" s="1">
        <v>66864</v>
      </c>
      <c r="E11" s="2">
        <v>1355</v>
      </c>
    </row>
    <row r="12" spans="1:5" ht="21" x14ac:dyDescent="0.3">
      <c r="A12" s="1">
        <v>66850</v>
      </c>
      <c r="B12" s="2">
        <v>2215</v>
      </c>
      <c r="C12" s="8"/>
      <c r="D12" s="1">
        <v>66865</v>
      </c>
      <c r="E12" s="2">
        <v>1635</v>
      </c>
    </row>
    <row r="13" spans="1:5" ht="21" x14ac:dyDescent="0.3">
      <c r="A13" s="1">
        <v>66851</v>
      </c>
      <c r="B13" s="2">
        <v>770</v>
      </c>
      <c r="C13" s="8"/>
      <c r="D13" s="1">
        <v>66866</v>
      </c>
      <c r="E13" s="2">
        <v>430</v>
      </c>
    </row>
    <row r="14" spans="1:5" ht="21" x14ac:dyDescent="0.3">
      <c r="A14" s="1">
        <v>66852</v>
      </c>
      <c r="B14" s="2">
        <v>2660</v>
      </c>
      <c r="C14" s="8"/>
      <c r="D14" s="1">
        <v>66867</v>
      </c>
      <c r="E14" s="2">
        <v>3720</v>
      </c>
    </row>
    <row r="15" spans="1:5" ht="21" x14ac:dyDescent="0.3">
      <c r="A15" s="1">
        <v>66853</v>
      </c>
      <c r="B15" s="2">
        <v>2055</v>
      </c>
      <c r="C15" s="8"/>
      <c r="D15" s="1">
        <v>66868</v>
      </c>
      <c r="E15" s="2">
        <v>755</v>
      </c>
    </row>
    <row r="16" spans="1:5" ht="21" x14ac:dyDescent="0.3">
      <c r="A16" s="1">
        <v>66854</v>
      </c>
      <c r="B16" s="2">
        <v>3810</v>
      </c>
      <c r="C16" s="8"/>
      <c r="D16" s="1">
        <v>66869</v>
      </c>
      <c r="E16" s="2">
        <v>1405</v>
      </c>
    </row>
    <row r="17" spans="1:5" ht="21" x14ac:dyDescent="0.3">
      <c r="A17" s="1">
        <v>66855</v>
      </c>
      <c r="B17" s="2">
        <v>1310</v>
      </c>
      <c r="C17" s="8"/>
      <c r="D17" s="1">
        <v>66870</v>
      </c>
      <c r="E17" s="2">
        <v>590</v>
      </c>
    </row>
    <row r="18" spans="1:5" ht="21" x14ac:dyDescent="0.3">
      <c r="A18" s="1">
        <v>66856</v>
      </c>
      <c r="B18" s="2">
        <v>1005</v>
      </c>
      <c r="C18" s="8"/>
      <c r="D18" s="1">
        <v>66871</v>
      </c>
      <c r="E18" s="2">
        <v>1090</v>
      </c>
    </row>
    <row r="19" spans="1:5" ht="21" x14ac:dyDescent="0.3">
      <c r="C19" s="8"/>
      <c r="D19" s="1">
        <v>66872</v>
      </c>
      <c r="E19" s="2">
        <v>2810</v>
      </c>
    </row>
    <row r="20" spans="1:5" x14ac:dyDescent="0.3">
      <c r="A20" s="3"/>
      <c r="B20" s="3"/>
      <c r="C20" s="8"/>
      <c r="D20" s="3"/>
      <c r="E20" s="3"/>
    </row>
    <row r="21" spans="1:5" x14ac:dyDescent="0.3">
      <c r="A21" s="3"/>
      <c r="B21" s="3"/>
      <c r="C21" s="8"/>
      <c r="D21" s="3"/>
      <c r="E21" s="3"/>
    </row>
    <row r="22" spans="1:5" x14ac:dyDescent="0.3">
      <c r="A22" s="3"/>
      <c r="B22" s="3"/>
      <c r="C22" s="8"/>
      <c r="D22" s="3"/>
      <c r="E22" s="3"/>
    </row>
    <row r="23" spans="1:5" x14ac:dyDescent="0.3">
      <c r="A23" s="11" t="s">
        <v>2</v>
      </c>
      <c r="B23" s="11"/>
      <c r="C23" s="8"/>
      <c r="D23" s="11">
        <f>SUM(B4:B18,E4:E19)</f>
        <v>55740</v>
      </c>
      <c r="E23" s="11"/>
    </row>
    <row r="24" spans="1:5" ht="30" customHeight="1" x14ac:dyDescent="0.3">
      <c r="A24" s="11"/>
      <c r="B24" s="11"/>
      <c r="C24" s="8"/>
      <c r="D24" s="11"/>
      <c r="E24" s="11"/>
    </row>
    <row r="25" spans="1:5" x14ac:dyDescent="0.3">
      <c r="A25" s="11" t="s">
        <v>13</v>
      </c>
      <c r="B25" s="11"/>
      <c r="C25" s="8"/>
      <c r="D25" s="11">
        <v>20000</v>
      </c>
      <c r="E25" s="11"/>
    </row>
    <row r="26" spans="1:5" ht="19.8" customHeight="1" x14ac:dyDescent="0.3">
      <c r="A26" s="11"/>
      <c r="B26" s="11"/>
      <c r="C26" s="8"/>
      <c r="D26" s="11"/>
      <c r="E26" s="11"/>
    </row>
    <row r="27" spans="1:5" x14ac:dyDescent="0.3">
      <c r="A27" s="11" t="s">
        <v>14</v>
      </c>
      <c r="B27" s="11"/>
      <c r="C27" s="8"/>
      <c r="D27" s="11">
        <f>D23-D25</f>
        <v>35740</v>
      </c>
      <c r="E27" s="11"/>
    </row>
    <row r="28" spans="1:5" ht="19.2" customHeight="1" x14ac:dyDescent="0.3">
      <c r="A28" s="11"/>
      <c r="B28" s="11"/>
      <c r="C28" s="8"/>
      <c r="D28" s="11"/>
      <c r="E28" s="11"/>
    </row>
    <row r="29" spans="1:5" x14ac:dyDescent="0.3">
      <c r="A29" s="11"/>
      <c r="B29" s="11"/>
      <c r="C29" s="8"/>
      <c r="D29" s="11"/>
      <c r="E29" s="11"/>
    </row>
    <row r="30" spans="1:5" x14ac:dyDescent="0.3">
      <c r="A30" s="11"/>
      <c r="B30" s="11"/>
      <c r="C30" s="8"/>
      <c r="D30" s="11"/>
      <c r="E30" s="11"/>
    </row>
  </sheetData>
  <mergeCells count="10">
    <mergeCell ref="D29:E30"/>
    <mergeCell ref="A1:E1"/>
    <mergeCell ref="A2:E2"/>
    <mergeCell ref="A23:B24"/>
    <mergeCell ref="D23:E24"/>
    <mergeCell ref="A25:B26"/>
    <mergeCell ref="D25:E26"/>
    <mergeCell ref="A27:B28"/>
    <mergeCell ref="D27:E28"/>
    <mergeCell ref="A29:B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2026-05-14T11:23:42Z</cp:lastPrinted>
  <dcterms:created xsi:type="dcterms:W3CDTF">2026-01-13T23:52:04Z</dcterms:created>
  <dcterms:modified xsi:type="dcterms:W3CDTF">2026-05-14T11:23:54Z</dcterms:modified>
</cp:coreProperties>
</file>