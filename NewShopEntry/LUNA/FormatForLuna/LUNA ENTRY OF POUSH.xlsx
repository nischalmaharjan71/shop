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UNA\"/>
    </mc:Choice>
  </mc:AlternateContent>
  <xr:revisionPtr revIDLastSave="0" documentId="13_ncr:1_{BD62E70F-7DEB-4344-B290-C00A3596E317}" xr6:coauthVersionLast="36" xr6:coauthVersionMax="36" xr10:uidLastSave="{00000000-0000-0000-0000-000000000000}"/>
  <bookViews>
    <workbookView xWindow="0" yWindow="0" windowWidth="23040" windowHeight="9060" xr2:uid="{78AB8A8F-444C-457B-80CE-92427DD67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  <c r="B19" i="1"/>
  <c r="B13" i="1"/>
  <c r="C27" i="1" l="1"/>
  <c r="B27" i="1"/>
  <c r="C29" i="1" l="1"/>
</calcChain>
</file>

<file path=xl/sharedStrings.xml><?xml version="1.0" encoding="utf-8"?>
<sst xmlns="http://schemas.openxmlformats.org/spreadsheetml/2006/main" count="34" uniqueCount="34">
  <si>
    <t>LUNA</t>
  </si>
  <si>
    <t>Date</t>
  </si>
  <si>
    <t>Bill Amount</t>
  </si>
  <si>
    <t>Cash Received</t>
  </si>
  <si>
    <t>FOR THE MONTH POUSH</t>
  </si>
  <si>
    <t>Remaining Due Of mangsir</t>
  </si>
  <si>
    <t xml:space="preserve">  2080/09/02</t>
  </si>
  <si>
    <t xml:space="preserve">  2080/09/03</t>
  </si>
  <si>
    <t xml:space="preserve">  2080/09/04</t>
  </si>
  <si>
    <t xml:space="preserve">  2080/09/05</t>
  </si>
  <si>
    <t xml:space="preserve">  2080/09/06</t>
  </si>
  <si>
    <t xml:space="preserve">  2080/09/07</t>
  </si>
  <si>
    <t xml:space="preserve">  2080/09/08</t>
  </si>
  <si>
    <t xml:space="preserve">  2080/09/10</t>
  </si>
  <si>
    <t xml:space="preserve">  2080/09/11</t>
  </si>
  <si>
    <t xml:space="preserve">  2080/09/12</t>
  </si>
  <si>
    <t xml:space="preserve">  2080/09/13</t>
  </si>
  <si>
    <t xml:space="preserve">  2080/09/14</t>
  </si>
  <si>
    <t xml:space="preserve">  2080/09/15</t>
  </si>
  <si>
    <t xml:space="preserve">  2080/09/16</t>
  </si>
  <si>
    <t xml:space="preserve">  2080/09/17</t>
  </si>
  <si>
    <t xml:space="preserve">  2080/09/18</t>
  </si>
  <si>
    <t xml:space="preserve">  2080/09/20</t>
  </si>
  <si>
    <t xml:space="preserve">  2080/09/21</t>
  </si>
  <si>
    <t xml:space="preserve">  2080/09/22</t>
  </si>
  <si>
    <t xml:space="preserve">  2080/09/23</t>
  </si>
  <si>
    <t xml:space="preserve">  2080/09/01</t>
  </si>
  <si>
    <t>Total</t>
  </si>
  <si>
    <t>Remaining Due</t>
  </si>
  <si>
    <t>(4160+860+1715+7190)</t>
  </si>
  <si>
    <t>Multiple Bills</t>
  </si>
  <si>
    <t>(5700+1240+1360)</t>
  </si>
  <si>
    <t>(10915+4025)</t>
  </si>
  <si>
    <t>Remaing Amount (Day wise)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</si>
</sst>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2" fillId="0" borderId="0" xfId="0" applyFont="1" applyFill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065D-CE5B-41A2-9F86-995B8C332C39}">
  <dimension ref="A1:F29"/>
  <sheetViews>
    <sheetView tabSelected="1" topLeftCell="A16" workbookViewId="0">
      <selection activeCell="F27" sqref="F27"/>
    </sheetView>
  </sheetViews>
  <sheetFormatPr defaultRowHeight="14.4" x14ac:dyDescent="0.3"/>
  <cols>
    <col min="1" max="1" width="29.6640625" customWidth="1"/>
    <col min="2" max="2" width="16.88671875" customWidth="1"/>
    <col min="3" max="3" width="18.88671875" customWidth="1"/>
    <col min="4" max="4" width="31.44140625" customWidth="1"/>
    <col min="5" max="5" width="20.6640625" customWidth="1"/>
    <col min="6" max="6" width="35.44140625" customWidth="1"/>
  </cols>
  <sheetData>
    <row r="1" spans="1:6" ht="28.8" x14ac:dyDescent="0.3">
      <c r="A1" s="6" t="s">
        <v>0</v>
      </c>
      <c r="B1" s="7"/>
      <c r="C1" s="7"/>
      <c r="D1" s="7"/>
      <c r="E1" s="8"/>
      <c r="F1" s="1"/>
    </row>
    <row r="2" spans="1:6" ht="23.4" x14ac:dyDescent="0.3">
      <c r="A2" s="9" t="s">
        <v>4</v>
      </c>
      <c r="B2" s="10"/>
      <c r="C2" s="10"/>
      <c r="D2" s="10"/>
      <c r="E2" s="11"/>
      <c r="F2" s="1"/>
    </row>
    <row r="3" spans="1:6" ht="21" x14ac:dyDescent="0.4">
      <c r="A3" s="14" t="s">
        <v>1</v>
      </c>
      <c r="B3" s="14" t="s">
        <v>2</v>
      </c>
      <c r="C3" s="14" t="s">
        <v>3</v>
      </c>
      <c r="D3" s="26" t="s">
        <v>33</v>
      </c>
      <c r="E3" s="12" t="s">
        <v>30</v>
      </c>
      <c r="F3" s="2"/>
    </row>
    <row r="4" spans="1:6" ht="21" x14ac:dyDescent="0.4">
      <c r="A4" s="15"/>
      <c r="B4" s="15"/>
      <c r="C4" s="15"/>
      <c r="D4" s="27"/>
      <c r="E4" s="13"/>
      <c r="F4" s="2"/>
    </row>
    <row r="5" spans="1:6" ht="25.8" x14ac:dyDescent="0.3">
      <c r="A5" s="3" t="s">
        <v>5</v>
      </c>
      <c r="B5" s="24">
        <v>3240</v>
      </c>
      <c r="C5" s="24"/>
      <c r="D5" s="25">
        <v>3240</v>
      </c>
      <c r="E5" s="4"/>
      <c r="F5" s="1"/>
    </row>
    <row r="6" spans="1:6" ht="25.8" x14ac:dyDescent="0.3">
      <c r="A6" s="24" t="s">
        <v>26</v>
      </c>
      <c r="B6" s="24">
        <v>2255</v>
      </c>
      <c r="C6" s="24">
        <v>2000</v>
      </c>
      <c r="D6" s="25">
        <v>3495</v>
      </c>
      <c r="E6" s="4"/>
      <c r="F6" s="1"/>
    </row>
    <row r="7" spans="1:6" ht="25.8" x14ac:dyDescent="0.3">
      <c r="A7" s="24" t="s">
        <v>6</v>
      </c>
      <c r="B7" s="24">
        <v>4290</v>
      </c>
      <c r="C7" s="24">
        <v>4000</v>
      </c>
      <c r="D7" s="25">
        <v>3785</v>
      </c>
      <c r="E7" s="4"/>
      <c r="F7" s="1"/>
    </row>
    <row r="8" spans="1:6" ht="25.8" x14ac:dyDescent="0.3">
      <c r="A8" s="24" t="s">
        <v>7</v>
      </c>
      <c r="B8" s="24">
        <v>715</v>
      </c>
      <c r="C8" s="24">
        <v>1000</v>
      </c>
      <c r="D8" s="25">
        <v>3500</v>
      </c>
      <c r="E8" s="4"/>
      <c r="F8" s="1"/>
    </row>
    <row r="9" spans="1:6" ht="25.8" x14ac:dyDescent="0.3">
      <c r="A9" s="24" t="s">
        <v>8</v>
      </c>
      <c r="B9" s="24">
        <v>3170</v>
      </c>
      <c r="C9" s="24">
        <v>3000</v>
      </c>
      <c r="D9" s="25">
        <v>3670</v>
      </c>
      <c r="E9" s="4"/>
      <c r="F9" s="1"/>
    </row>
    <row r="10" spans="1:6" ht="25.8" x14ac:dyDescent="0.3">
      <c r="A10" s="24" t="s">
        <v>9</v>
      </c>
      <c r="B10" s="24">
        <v>1830</v>
      </c>
      <c r="C10" s="24">
        <v>3000</v>
      </c>
      <c r="D10" s="25">
        <v>2500</v>
      </c>
      <c r="E10" s="4"/>
      <c r="F10" s="1"/>
    </row>
    <row r="11" spans="1:6" ht="25.8" x14ac:dyDescent="0.3">
      <c r="A11" s="24" t="s">
        <v>10</v>
      </c>
      <c r="B11" s="24">
        <v>2765</v>
      </c>
      <c r="C11" s="24">
        <v>2500</v>
      </c>
      <c r="D11" s="25">
        <v>2765</v>
      </c>
      <c r="E11" s="4"/>
      <c r="F11" s="1"/>
    </row>
    <row r="12" spans="1:6" ht="25.8" x14ac:dyDescent="0.3">
      <c r="A12" s="24" t="s">
        <v>11</v>
      </c>
      <c r="B12" s="24">
        <v>6310</v>
      </c>
      <c r="C12" s="24">
        <v>6310</v>
      </c>
      <c r="D12" s="25">
        <v>2765</v>
      </c>
      <c r="E12" s="4"/>
      <c r="F12" s="1"/>
    </row>
    <row r="13" spans="1:6" ht="25.8" x14ac:dyDescent="0.3">
      <c r="A13" s="24" t="s">
        <v>12</v>
      </c>
      <c r="B13" s="24">
        <f>4160+860+1715+7190</f>
        <v>13925</v>
      </c>
      <c r="C13" s="24">
        <v>5000</v>
      </c>
      <c r="D13" s="25">
        <v>11690</v>
      </c>
      <c r="E13" s="4" t="s">
        <v>29</v>
      </c>
      <c r="F13" s="1"/>
    </row>
    <row r="14" spans="1:6" ht="25.8" x14ac:dyDescent="0.3">
      <c r="A14" s="24" t="s">
        <v>13</v>
      </c>
      <c r="B14" s="24">
        <v>5430</v>
      </c>
      <c r="C14" s="24">
        <v>0</v>
      </c>
      <c r="D14" s="25">
        <v>17120</v>
      </c>
      <c r="E14" s="4"/>
      <c r="F14" s="1"/>
    </row>
    <row r="15" spans="1:6" ht="25.8" x14ac:dyDescent="0.3">
      <c r="A15" s="24" t="s">
        <v>14</v>
      </c>
      <c r="B15" s="24">
        <v>5250</v>
      </c>
      <c r="C15" s="24">
        <v>5250</v>
      </c>
      <c r="D15" s="25">
        <v>17120</v>
      </c>
      <c r="E15" s="4"/>
      <c r="F15" s="1"/>
    </row>
    <row r="16" spans="1:6" ht="25.8" x14ac:dyDescent="0.3">
      <c r="A16" s="24" t="s">
        <v>15</v>
      </c>
      <c r="B16" s="24">
        <v>2965</v>
      </c>
      <c r="C16" s="24">
        <v>3000</v>
      </c>
      <c r="D16" s="25">
        <v>17085</v>
      </c>
      <c r="E16" s="4"/>
      <c r="F16" s="1"/>
    </row>
    <row r="17" spans="1:6" ht="25.8" x14ac:dyDescent="0.3">
      <c r="A17" s="24" t="s">
        <v>16</v>
      </c>
      <c r="B17" s="24">
        <v>3570</v>
      </c>
      <c r="C17" s="24">
        <v>5000</v>
      </c>
      <c r="D17" s="25">
        <v>15655</v>
      </c>
      <c r="E17" s="4"/>
      <c r="F17" s="1"/>
    </row>
    <row r="18" spans="1:6" ht="25.8" x14ac:dyDescent="0.3">
      <c r="A18" s="24" t="s">
        <v>17</v>
      </c>
      <c r="B18" s="24">
        <v>3695</v>
      </c>
      <c r="C18" s="24">
        <v>4000</v>
      </c>
      <c r="D18" s="25">
        <v>15350</v>
      </c>
      <c r="E18" s="4"/>
      <c r="F18" s="1"/>
    </row>
    <row r="19" spans="1:6" ht="25.8" x14ac:dyDescent="0.3">
      <c r="A19" s="24" t="s">
        <v>18</v>
      </c>
      <c r="B19" s="24">
        <f>5700+1240+1360</f>
        <v>8300</v>
      </c>
      <c r="C19" s="24">
        <v>6935</v>
      </c>
      <c r="D19" s="25">
        <v>16715</v>
      </c>
      <c r="E19" s="4" t="s">
        <v>31</v>
      </c>
      <c r="F19" s="1"/>
    </row>
    <row r="20" spans="1:6" ht="25.8" x14ac:dyDescent="0.3">
      <c r="A20" s="24" t="s">
        <v>19</v>
      </c>
      <c r="B20" s="24">
        <f>10915+4025</f>
        <v>14940</v>
      </c>
      <c r="C20" s="24">
        <v>20000</v>
      </c>
      <c r="D20" s="25">
        <v>11655</v>
      </c>
      <c r="E20" s="4" t="s">
        <v>32</v>
      </c>
      <c r="F20" s="1"/>
    </row>
    <row r="21" spans="1:6" ht="25.8" x14ac:dyDescent="0.3">
      <c r="A21" s="24" t="s">
        <v>20</v>
      </c>
      <c r="B21" s="24">
        <v>1110</v>
      </c>
      <c r="C21" s="24">
        <v>1760</v>
      </c>
      <c r="D21" s="25">
        <v>11005</v>
      </c>
      <c r="E21" s="4"/>
      <c r="F21" s="1"/>
    </row>
    <row r="22" spans="1:6" ht="25.8" x14ac:dyDescent="0.3">
      <c r="A22" s="24" t="s">
        <v>21</v>
      </c>
      <c r="B22" s="24">
        <v>3950</v>
      </c>
      <c r="C22" s="24">
        <v>4000</v>
      </c>
      <c r="D22" s="25">
        <v>10955</v>
      </c>
      <c r="E22" s="4"/>
      <c r="F22" s="1"/>
    </row>
    <row r="23" spans="1:6" ht="25.8" x14ac:dyDescent="0.3">
      <c r="A23" s="24" t="s">
        <v>22</v>
      </c>
      <c r="B23" s="24">
        <v>1420</v>
      </c>
      <c r="C23" s="24">
        <v>0</v>
      </c>
      <c r="D23" s="25">
        <v>12375</v>
      </c>
      <c r="E23" s="4"/>
      <c r="F23" s="1"/>
    </row>
    <row r="24" spans="1:6" ht="25.8" x14ac:dyDescent="0.3">
      <c r="A24" s="24" t="s">
        <v>23</v>
      </c>
      <c r="B24" s="24">
        <v>4300</v>
      </c>
      <c r="C24" s="24">
        <v>6000</v>
      </c>
      <c r="D24" s="25">
        <v>10675</v>
      </c>
      <c r="E24" s="4"/>
      <c r="F24" s="1"/>
    </row>
    <row r="25" spans="1:6" ht="25.8" x14ac:dyDescent="0.3">
      <c r="A25" s="24" t="s">
        <v>24</v>
      </c>
      <c r="B25" s="24">
        <v>1910</v>
      </c>
      <c r="C25" s="24">
        <v>0</v>
      </c>
      <c r="D25" s="25">
        <v>12585</v>
      </c>
      <c r="E25" s="4"/>
      <c r="F25" s="1"/>
    </row>
    <row r="26" spans="1:6" ht="28.8" x14ac:dyDescent="0.3">
      <c r="A26" s="24" t="s">
        <v>25</v>
      </c>
      <c r="B26" s="24">
        <v>2750</v>
      </c>
      <c r="C26" s="24">
        <v>5000</v>
      </c>
      <c r="D26" s="5">
        <v>10335</v>
      </c>
      <c r="E26" s="4"/>
      <c r="F26" s="1"/>
    </row>
    <row r="27" spans="1:6" ht="36.6" x14ac:dyDescent="0.3">
      <c r="A27" s="16" t="s">
        <v>27</v>
      </c>
      <c r="B27" s="16">
        <f>SUM(B5:B26)</f>
        <v>98090</v>
      </c>
      <c r="C27" s="16">
        <f>SUM(C5:C26)</f>
        <v>87755</v>
      </c>
      <c r="D27" s="17"/>
      <c r="E27" s="18"/>
      <c r="F27" s="1"/>
    </row>
    <row r="28" spans="1:6" ht="36.6" x14ac:dyDescent="0.7">
      <c r="A28" s="19"/>
      <c r="B28" s="19"/>
      <c r="C28" s="19"/>
      <c r="D28" s="19"/>
      <c r="E28" s="28"/>
      <c r="F28" s="1"/>
    </row>
    <row r="29" spans="1:6" ht="36.6" x14ac:dyDescent="0.7">
      <c r="A29" s="21" t="s">
        <v>28</v>
      </c>
      <c r="B29" s="22"/>
      <c r="C29" s="23">
        <f>B27-C27</f>
        <v>10335</v>
      </c>
      <c r="D29" s="21"/>
      <c r="E29" s="20"/>
      <c r="F29" s="1"/>
    </row>
  </sheetData>
  <mergeCells count="9">
    <mergeCell ref="A29:B29"/>
    <mergeCell ref="C29:D29"/>
    <mergeCell ref="A1:E1"/>
    <mergeCell ref="A2:E2"/>
    <mergeCell ref="D3:D4"/>
    <mergeCell ref="C3:C4"/>
    <mergeCell ref="B3:B4"/>
    <mergeCell ref="A3:A4"/>
    <mergeCell ref="E3:E4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2024-01-08T18:55:42Z</cp:lastPrinted>
  <dcterms:created xsi:type="dcterms:W3CDTF">2024-01-08T17:35:14Z</dcterms:created>
  <dcterms:modified xsi:type="dcterms:W3CDTF">2024-01-08T18:56:34Z</dcterms:modified>
</cp:coreProperties>
</file>